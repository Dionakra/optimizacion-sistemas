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571" codeName="{C999D3B4-68BB-379E-E534-F0D661931E69}"/>
  <workbookPr codeName="ThisWorkbook"/>
  <mc:AlternateContent xmlns:mc="http://schemas.openxmlformats.org/markup-compatibility/2006">
    <mc:Choice Requires="x15">
      <x15ac:absPath xmlns:x15ac="http://schemas.microsoft.com/office/spreadsheetml/2010/11/ac" url="C:\Users\ddlsb\Desktop\"/>
    </mc:Choice>
  </mc:AlternateContent>
  <bookViews>
    <workbookView xWindow="0" yWindow="0" windowWidth="2370" windowHeight="0" activeTab="1"/>
  </bookViews>
  <sheets>
    <sheet name="Bisección" sheetId="1" r:id="rId1"/>
    <sheet name="Algoritmo de Newton" sheetId="3" r:id="rId2"/>
    <sheet name="Evaluación de Funciones" sheetId="4" r:id="rId3"/>
  </sheets>
  <functionGroups builtInGroupCount="18"/>
  <definedNames>
    <definedName name="a_0_g">'Algoritmo de Newton'!#REF!</definedName>
    <definedName name="a0">Bisección!$D$16</definedName>
    <definedName name="a0_g">'Algoritmo de Newton'!#REF!</definedName>
    <definedName name="b_0_g">'Algoritmo de Newton'!#REF!</definedName>
    <definedName name="b0">Bisección!$D$17</definedName>
    <definedName name="diff">Bisección!$D$19</definedName>
    <definedName name="diff_2_n">'Algoritmo de Newton'!$D$19</definedName>
    <definedName name="diff_n">'Algoritmo de Newton'!$D$18</definedName>
    <definedName name="ec">Bisección!$D$18</definedName>
    <definedName name="ec_g">'Algoritmo de Newton'!$D$17</definedName>
    <definedName name="eps">'Algoritmo de Newton'!$D$16</definedName>
    <definedName name="I_g">'Algoritmo de Newton'!$D$16</definedName>
    <definedName name="l">Bisección!$D$15</definedName>
    <definedName name="lambda">'Algoritmo de Newton'!$D$15</definedName>
    <definedName name="ro">'Algoritmo de Newton'!$C$15</definedName>
    <definedName name="ro_name">'Algoritmo de Newton'!$C$15</definedName>
    <definedName name="ro_value">'Algoritmo de Newton'!$D$15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M15" i="3" l="1"/>
  <c r="D21" i="1"/>
  <c r="N15" i="3"/>
  <c r="O15" i="3"/>
  <c r="M16" i="3" l="1"/>
  <c r="O16" i="3"/>
  <c r="N16" i="3"/>
  <c r="L16" i="3" l="1"/>
  <c r="M17" i="3"/>
  <c r="O17" i="3"/>
  <c r="N17" i="3"/>
  <c r="L17" i="3" l="1"/>
  <c r="M18" i="3"/>
  <c r="N18" i="3"/>
  <c r="O18" i="3"/>
  <c r="L18" i="3" l="1"/>
  <c r="M19" i="3"/>
  <c r="O19" i="3"/>
  <c r="N19" i="3"/>
  <c r="L19" i="3" l="1"/>
  <c r="M20" i="3"/>
  <c r="O20" i="3"/>
  <c r="N20" i="3"/>
  <c r="L20" i="3" l="1"/>
  <c r="M21" i="3"/>
  <c r="N21" i="3"/>
  <c r="O21" i="3"/>
  <c r="L21" i="3" l="1"/>
  <c r="M22" i="3"/>
  <c r="N22" i="3"/>
  <c r="O22" i="3"/>
  <c r="L22" i="3" l="1"/>
  <c r="M23" i="3"/>
  <c r="O23" i="3"/>
  <c r="N23" i="3"/>
  <c r="L23" i="3" l="1"/>
  <c r="M24" i="3"/>
  <c r="O24" i="3"/>
  <c r="N24" i="3"/>
  <c r="L24" i="3" l="1"/>
  <c r="M25" i="3"/>
  <c r="N25" i="3"/>
  <c r="O25" i="3"/>
  <c r="L25" i="3" l="1"/>
  <c r="M26" i="3"/>
  <c r="N26" i="3"/>
  <c r="O26" i="3"/>
  <c r="L26" i="3" l="1"/>
  <c r="M27" i="3"/>
  <c r="O27" i="3"/>
  <c r="N27" i="3"/>
  <c r="L27" i="3" l="1"/>
  <c r="M28" i="3"/>
  <c r="O28" i="3"/>
  <c r="N28" i="3"/>
  <c r="D20" i="3" l="1"/>
  <c r="L28" i="3"/>
  <c r="D21" i="3"/>
  <c r="G13" i="4" l="1"/>
  <c r="G14" i="4"/>
  <c r="H14" i="4"/>
  <c r="H13" i="4"/>
  <c r="M15" i="1" l="1"/>
  <c r="F15" i="1"/>
  <c r="F16" i="1"/>
  <c r="K15" i="1" l="1"/>
  <c r="L15" i="1" s="1"/>
  <c r="N15" i="1"/>
  <c r="J15" i="1" l="1"/>
  <c r="K16" i="1"/>
  <c r="L16" i="1" s="1"/>
  <c r="M16" i="1"/>
  <c r="N16" i="1"/>
  <c r="J16" i="1" l="1"/>
  <c r="K17" i="1"/>
  <c r="M17" i="1"/>
  <c r="L17" i="1" l="1"/>
  <c r="N17" i="1"/>
  <c r="J17" i="1" l="1"/>
  <c r="M18" i="1"/>
  <c r="K18" i="1"/>
  <c r="L18" i="1" s="1"/>
  <c r="N18" i="1"/>
  <c r="J18" i="1" l="1"/>
  <c r="K19" i="1"/>
  <c r="L19" i="1" s="1"/>
  <c r="M19" i="1"/>
  <c r="N19" i="1"/>
  <c r="J19" i="1" l="1"/>
  <c r="M20" i="1"/>
  <c r="K20" i="1"/>
  <c r="L20" i="1" s="1"/>
  <c r="N20" i="1"/>
  <c r="J20" i="1" l="1"/>
  <c r="M21" i="1"/>
  <c r="K21" i="1"/>
  <c r="L21" i="1" s="1"/>
  <c r="N21" i="1"/>
  <c r="J21" i="1" l="1"/>
  <c r="K22" i="1"/>
  <c r="M22" i="1"/>
  <c r="L22" i="1" l="1"/>
  <c r="N22" i="1"/>
  <c r="K23" i="1" l="1"/>
  <c r="M23" i="1"/>
  <c r="J22" i="1"/>
  <c r="L23" i="1" l="1"/>
  <c r="N23" i="1"/>
  <c r="M24" i="1" l="1"/>
  <c r="K24" i="1"/>
  <c r="L24" i="1" s="1"/>
  <c r="J23" i="1"/>
  <c r="N24" i="1"/>
  <c r="K25" i="1" l="1"/>
  <c r="L25" i="1" s="1"/>
  <c r="M25" i="1"/>
  <c r="J24" i="1"/>
  <c r="N25" i="1"/>
  <c r="M26" i="1" l="1"/>
  <c r="K26" i="1"/>
  <c r="L26" i="1" s="1"/>
  <c r="J25" i="1"/>
  <c r="N26" i="1"/>
  <c r="M27" i="1" l="1"/>
  <c r="K27" i="1"/>
  <c r="L27" i="1" s="1"/>
  <c r="J26" i="1"/>
  <c r="N27" i="1"/>
  <c r="K28" i="1" l="1"/>
  <c r="L28" i="1" s="1"/>
  <c r="M28" i="1"/>
  <c r="J27" i="1"/>
  <c r="N28" i="1"/>
  <c r="K29" i="1" l="1"/>
  <c r="L29" i="1" s="1"/>
  <c r="M29" i="1"/>
  <c r="J28" i="1"/>
  <c r="N29" i="1"/>
  <c r="J29" i="1" l="1"/>
  <c r="D20" i="1"/>
</calcChain>
</file>

<file path=xl/comments1.xml><?xml version="1.0" encoding="utf-8"?>
<comments xmlns="http://schemas.openxmlformats.org/spreadsheetml/2006/main">
  <authors>
    <author>David de los Santos Boix</author>
  </authors>
  <commentList>
    <comment ref="I14" authorId="0" shapeId="0">
      <text>
        <r>
          <rPr>
            <b/>
            <sz val="9"/>
            <color indexed="81"/>
            <rFont val="Tahoma"/>
            <charset val="1"/>
          </rPr>
          <t xml:space="preserve">David de los Santos Boix:
</t>
        </r>
        <r>
          <rPr>
            <sz val="9"/>
            <color indexed="81"/>
            <rFont val="Tahoma"/>
            <family val="2"/>
          </rPr>
          <t>Número de ejecución</t>
        </r>
      </text>
    </comment>
    <comment ref="J14" authorId="0" shapeId="0">
      <text>
        <r>
          <rPr>
            <b/>
            <sz val="9"/>
            <color indexed="81"/>
            <rFont val="Tahoma"/>
            <family val="2"/>
          </rPr>
          <t>David de los Santos Boix:</t>
        </r>
        <r>
          <rPr>
            <sz val="9"/>
            <color indexed="81"/>
            <rFont val="Tahoma"/>
            <family val="2"/>
          </rPr>
          <t xml:space="preserve">
Indica si ya se ha obtenido un valor óptimo para el problema</t>
        </r>
      </text>
    </comment>
    <comment ref="K14" authorId="0" shapeId="0">
      <text>
        <r>
          <rPr>
            <b/>
            <sz val="9"/>
            <color indexed="81"/>
            <rFont val="Tahoma"/>
            <family val="2"/>
          </rPr>
          <t>David de los Santos Boix:</t>
        </r>
        <r>
          <rPr>
            <sz val="9"/>
            <color indexed="81"/>
            <rFont val="Tahoma"/>
            <family val="2"/>
          </rPr>
          <t xml:space="preserve">
Límite inferior del intervalo</t>
        </r>
      </text>
    </comment>
    <comment ref="L14" authorId="0" shapeId="0">
      <text>
        <r>
          <rPr>
            <b/>
            <sz val="9"/>
            <color indexed="81"/>
            <rFont val="Tahoma"/>
            <family val="2"/>
          </rPr>
          <t>David de los Santos Boix:</t>
        </r>
        <r>
          <rPr>
            <sz val="9"/>
            <color indexed="81"/>
            <rFont val="Tahoma"/>
            <family val="2"/>
          </rPr>
          <t xml:space="preserve">
Punto medio de la dicotomía</t>
        </r>
      </text>
    </comment>
    <comment ref="M14" authorId="0" shapeId="0">
      <text>
        <r>
          <rPr>
            <b/>
            <sz val="9"/>
            <color indexed="81"/>
            <rFont val="Tahoma"/>
            <family val="2"/>
          </rPr>
          <t>David de los Santos Boix:</t>
        </r>
        <r>
          <rPr>
            <sz val="9"/>
            <color indexed="81"/>
            <rFont val="Tahoma"/>
            <family val="2"/>
          </rPr>
          <t xml:space="preserve">
Límite superior del intervalo</t>
        </r>
      </text>
    </comment>
    <comment ref="N14" authorId="0" shapeId="0">
      <text>
        <r>
          <rPr>
            <b/>
            <sz val="9"/>
            <color indexed="81"/>
            <rFont val="Tahoma"/>
            <family val="2"/>
          </rPr>
          <t>David de los Santos Boix:</t>
        </r>
        <r>
          <rPr>
            <sz val="9"/>
            <color indexed="81"/>
            <rFont val="Tahoma"/>
            <family val="2"/>
          </rPr>
          <t xml:space="preserve">
Valor de la derivada función para el punto lm_i</t>
        </r>
      </text>
    </comment>
  </commentList>
</comments>
</file>

<file path=xl/comments2.xml><?xml version="1.0" encoding="utf-8"?>
<comments xmlns="http://schemas.openxmlformats.org/spreadsheetml/2006/main">
  <authors>
    <author>David de los Santos Boix</author>
  </authors>
  <commentList>
    <comment ref="K14" authorId="0" shapeId="0">
      <text>
        <r>
          <rPr>
            <b/>
            <sz val="9"/>
            <color indexed="81"/>
            <rFont val="Tahoma"/>
            <charset val="1"/>
          </rPr>
          <t xml:space="preserve">David de los Santos Boix:
</t>
        </r>
        <r>
          <rPr>
            <sz val="9"/>
            <color indexed="81"/>
            <rFont val="Tahoma"/>
            <family val="2"/>
          </rPr>
          <t>Número de ejecución</t>
        </r>
      </text>
    </comment>
    <comment ref="L14" authorId="0" shapeId="0">
      <text>
        <r>
          <rPr>
            <b/>
            <sz val="9"/>
            <color indexed="81"/>
            <rFont val="Tahoma"/>
            <family val="2"/>
          </rPr>
          <t>David de los Santos Boix:</t>
        </r>
        <r>
          <rPr>
            <sz val="9"/>
            <color indexed="81"/>
            <rFont val="Tahoma"/>
            <family val="2"/>
          </rPr>
          <t xml:space="preserve">
Indica si, en base a la incertidumbre, ya se ha llegado a un valor mínimo aceptable</t>
        </r>
      </text>
    </comment>
    <comment ref="M14" authorId="0" shapeId="0">
      <text>
        <r>
          <rPr>
            <b/>
            <sz val="9"/>
            <color indexed="81"/>
            <rFont val="Tahoma"/>
            <family val="2"/>
          </rPr>
          <t>David de los Santos Boix:</t>
        </r>
        <r>
          <rPr>
            <sz val="9"/>
            <color indexed="81"/>
            <rFont val="Tahoma"/>
            <family val="2"/>
          </rPr>
          <t xml:space="preserve">
Punto de búsqueda actual</t>
        </r>
      </text>
    </comment>
    <comment ref="N14" authorId="0" shapeId="0">
      <text>
        <r>
          <rPr>
            <b/>
            <sz val="9"/>
            <color indexed="81"/>
            <rFont val="Tahoma"/>
            <family val="2"/>
          </rPr>
          <t>David de los Santos Boix:</t>
        </r>
        <r>
          <rPr>
            <sz val="9"/>
            <color indexed="81"/>
            <rFont val="Tahoma"/>
            <family val="2"/>
          </rPr>
          <t xml:space="preserve">
Valor de lm_i para la primera derivada de la ecuación</t>
        </r>
      </text>
    </comment>
    <comment ref="O14" authorId="0" shapeId="0">
      <text>
        <r>
          <rPr>
            <b/>
            <sz val="9"/>
            <color indexed="81"/>
            <rFont val="Tahoma"/>
            <family val="2"/>
          </rPr>
          <t>David de los Santos Boix:</t>
        </r>
        <r>
          <rPr>
            <sz val="9"/>
            <color indexed="81"/>
            <rFont val="Tahoma"/>
            <family val="2"/>
          </rPr>
          <t xml:space="preserve">
Valor de lm_i para la segunda derivada de la ecuación</t>
        </r>
      </text>
    </comment>
  </commentList>
</comments>
</file>

<file path=xl/sharedStrings.xml><?xml version="1.0" encoding="utf-8"?>
<sst xmlns="http://schemas.openxmlformats.org/spreadsheetml/2006/main" count="108" uniqueCount="75">
  <si>
    <t>bi</t>
  </si>
  <si>
    <t>lm_i</t>
  </si>
  <si>
    <t>f(lm_i)</t>
  </si>
  <si>
    <t>a_i</t>
  </si>
  <si>
    <t>Optimización de Funciones</t>
  </si>
  <si>
    <t>Valor</t>
  </si>
  <si>
    <t>Semántica de Parámetros</t>
  </si>
  <si>
    <t>I</t>
  </si>
  <si>
    <t>a_0</t>
  </si>
  <si>
    <t>b_0</t>
  </si>
  <si>
    <t>Límite superior del intervalo de búsqueda</t>
  </si>
  <si>
    <t>Límite inferior del intervalo de búsqueda</t>
  </si>
  <si>
    <t>Ejemplo Práctico</t>
  </si>
  <si>
    <t>Parámetro</t>
  </si>
  <si>
    <t>Ejecución</t>
  </si>
  <si>
    <t>x^2 + 2*x</t>
  </si>
  <si>
    <t>Ecuación</t>
  </si>
  <si>
    <t>Expresión analítica de X a la que obterner el mínimo</t>
  </si>
  <si>
    <t>Expresión analítica</t>
  </si>
  <si>
    <t>Evaluación automática de funciones</t>
  </si>
  <si>
    <t>Formula</t>
  </si>
  <si>
    <t>v_value</t>
  </si>
  <si>
    <t>Celda que contiene la expresión analítica a minimizar</t>
  </si>
  <si>
    <t>Celda que contiene la x a calcular de f(x)</t>
  </si>
  <si>
    <t>Para customizar al máximo la experiencia Excel se ha realizado una pequeña función de Excel en VBA para que el usuario escriba su ecuación analíticamente, siempre con una variable, siendo esta la variable "x" que, dado un valor a calcular, realiza la interpretación y cálculo al vuelo.</t>
  </si>
  <si>
    <t>Ecuaciones</t>
  </si>
  <si>
    <t>sqrt(x) + x^3</t>
  </si>
  <si>
    <t>Evaluar(Celda_Ecuacion;Celda_Valor)</t>
  </si>
  <si>
    <t>EvaluarNumero(Celda_Ecuacion;Valor_Numerico)</t>
  </si>
  <si>
    <t>Para ejecutar esta función solo debemos escribir en una celda la expresión y darle un valor con la siguiente estructura:</t>
  </si>
  <si>
    <t>CódigoRef</t>
  </si>
  <si>
    <t>CódigoVal</t>
  </si>
  <si>
    <t>ValorVal</t>
  </si>
  <si>
    <t>ValorRef</t>
  </si>
  <si>
    <t>EvaluarNumero(C13;3)</t>
  </si>
  <si>
    <t>Evaluar(C13;D13)</t>
  </si>
  <si>
    <t>EvaluarNumero(C13;2)</t>
  </si>
  <si>
    <t>¡Activar las macros para que funcione el análisis de ecuaciones!</t>
  </si>
  <si>
    <t>David de los Santos Boix</t>
  </si>
  <si>
    <t>Bisección</t>
  </si>
  <si>
    <t>Algoritmo de Newton</t>
  </si>
  <si>
    <t>¿Finalizado?</t>
  </si>
  <si>
    <t>Derivada</t>
  </si>
  <si>
    <t>Expresión analítica de la derivada de la ecuación</t>
  </si>
  <si>
    <t>x^4-14*x^3+60*x^2-70*x</t>
  </si>
  <si>
    <t>4*x^3-42*x^2+120*x-70</t>
  </si>
  <si>
    <t>Derivada de la expresión</t>
  </si>
  <si>
    <t>Incertidumbre mínima</t>
  </si>
  <si>
    <t>Calculamos el mínimo de la función descrita en el apartado de ecuación.</t>
  </si>
  <si>
    <t>Punto inicial</t>
  </si>
  <si>
    <t>2ª Derivada</t>
  </si>
  <si>
    <t>λ</t>
  </si>
  <si>
    <t>λ (lambda)</t>
  </si>
  <si>
    <t>Punto inicial para la búsqueda de la solución</t>
  </si>
  <si>
    <t>ε</t>
  </si>
  <si>
    <t>Valor de incertidumbre aceptada</t>
  </si>
  <si>
    <t>12*x^2-84*x+120</t>
  </si>
  <si>
    <t>2º Derivada</t>
  </si>
  <si>
    <t>Expresión analítica de la segunda derivada de la ecuación</t>
  </si>
  <si>
    <t>ε (epsilom)</t>
  </si>
  <si>
    <t>lm_i_diff</t>
  </si>
  <si>
    <t>lm_i_diff_2</t>
  </si>
  <si>
    <t>NO</t>
  </si>
  <si>
    <t>Solución (Punto)</t>
  </si>
  <si>
    <t>Solución (Valor)</t>
  </si>
  <si>
    <t>Para el algoritmo de la bisección se realiza un corte central entre los límites del intervalo. Se observa el signo de la derivada en ambos puntos. Si la derivada es negativa en el punto lambda = (a+b)/2, implica que la función sigue decreciendo, por lo que el mínimo estará en [lambda, b]. Si la derivada es positiva, entonces estará en [a, lambda]
Por ello vamos iterando hasta encontrar o bien la derivada igual a 0, es decir, un mínimo, o la solución en un intervalo con incertidumbre aceptable.</t>
  </si>
  <si>
    <t>Punto de la solución encontrada</t>
  </si>
  <si>
    <t>Valor de la solución encontrada</t>
  </si>
  <si>
    <t>Valor de confianza</t>
  </si>
  <si>
    <t>Ecuación a analizar</t>
  </si>
  <si>
    <t>Primera derivada</t>
  </si>
  <si>
    <t>Segunda derivada</t>
  </si>
  <si>
    <t>Como podemos observar en la gráfica, al empezar en 50, el mínimo que obtiene es el que está en torno al punto 5, como bien calcula nuestra hoja excel, pero no llega al mínimo absoluto.
Esto es debido al punto escogido. Para corregir esto se pueden ejecutar varias veces con diferentes puntos para detectar el mínimo global</t>
  </si>
  <si>
    <t>Podemos observar que la gráfica tiene un mínimo absoluto cerca del 1. Estableciendo el intervalo [0, 2], observamos que efectivamente encuentra la solución en ese punto y con el valor esperado en apenas 10 pasos</t>
  </si>
  <si>
    <t>En análisis numérico, el método de Newton (conocido también como el método de Newton-Raphson o el método de Newton-Fourier) es un algoritmo para encontrar aproximaciones de los ceros o raíces de una función real. También puede ser usado para encontrar el máximo o mínimo de una función, encontrando los ceros de su primera derivada.
Más información: https://es.wikipedia.org/wiki/M%C3%A9todo_de_Newton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</si>
</sst>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00"/>
    <numFmt numFmtId="165" formatCode="0.000"/>
  </numFmts>
  <fonts count="10" x14ac:knownFonts="1">
    <font>
      <sz val="11"/>
      <color theme="1"/>
      <name val="Calibri"/>
      <family val="2"/>
      <scheme val="minor"/>
    </font>
    <font>
      <b/>
      <sz val="11"/>
      <color theme="1"/>
      <name val="Calibri"/>
      <family val="2"/>
      <scheme val="minor"/>
    </font>
    <font>
      <sz val="16"/>
      <color theme="1"/>
      <name val="Calibri"/>
      <family val="2"/>
      <scheme val="minor"/>
    </font>
    <font>
      <sz val="26"/>
      <color theme="1"/>
      <name val="Calibri"/>
      <family val="2"/>
      <scheme val="minor"/>
    </font>
    <font>
      <sz val="11"/>
      <color theme="1"/>
      <name val="Calibri"/>
      <family val="2"/>
    </font>
    <font>
      <sz val="9"/>
      <color indexed="81"/>
      <name val="Tahoma"/>
      <family val="2"/>
    </font>
    <font>
      <b/>
      <sz val="9"/>
      <color indexed="81"/>
      <name val="Tahoma"/>
      <family val="2"/>
    </font>
    <font>
      <b/>
      <sz val="9"/>
      <color indexed="81"/>
      <name val="Tahoma"/>
      <charset val="1"/>
    </font>
    <font>
      <b/>
      <sz val="11"/>
      <color rgb="FFFF0000"/>
      <name val="Calibri"/>
      <family val="2"/>
      <scheme val="minor"/>
    </font>
    <font>
      <sz val="11"/>
      <color rgb="FFFF0000"/>
      <name val="Calibri"/>
      <family val="2"/>
      <scheme val="minor"/>
    </font>
  </fonts>
  <fills count="7">
    <fill>
      <patternFill patternType="none"/>
    </fill>
    <fill>
      <patternFill patternType="gray125"/>
    </fill>
    <fill>
      <patternFill patternType="solid">
        <fgColor theme="0"/>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7" tint="0.59999389629810485"/>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s>
  <cellStyleXfs count="1">
    <xf numFmtId="0" fontId="0" fillId="0" borderId="0"/>
  </cellStyleXfs>
  <cellXfs count="54">
    <xf numFmtId="0" fontId="0" fillId="0" borderId="0" xfId="0"/>
    <xf numFmtId="0" fontId="0" fillId="2" borderId="0" xfId="0" applyFill="1"/>
    <xf numFmtId="0" fontId="0" fillId="2" borderId="0" xfId="0" applyFont="1" applyFill="1"/>
    <xf numFmtId="0" fontId="0" fillId="4" borderId="0" xfId="0" applyFill="1"/>
    <xf numFmtId="0" fontId="1" fillId="4" borderId="0" xfId="0" applyFont="1" applyFill="1" applyAlignment="1">
      <alignment vertical="top"/>
    </xf>
    <xf numFmtId="0" fontId="1" fillId="4" borderId="0" xfId="0" applyFont="1" applyFill="1"/>
    <xf numFmtId="0" fontId="2" fillId="3" borderId="0" xfId="0" applyFont="1" applyFill="1" applyAlignment="1">
      <alignment horizontal="left"/>
    </xf>
    <xf numFmtId="0" fontId="0" fillId="3" borderId="0" xfId="0" applyFill="1" applyAlignment="1">
      <alignment horizontal="left"/>
    </xf>
    <xf numFmtId="0" fontId="4" fillId="2" borderId="1" xfId="0" applyFont="1" applyFill="1" applyBorder="1"/>
    <xf numFmtId="0" fontId="0" fillId="2" borderId="1" xfId="0" applyFill="1" applyBorder="1"/>
    <xf numFmtId="0" fontId="0" fillId="4" borderId="0" xfId="0" applyFont="1" applyFill="1" applyAlignment="1">
      <alignment horizontal="left"/>
    </xf>
    <xf numFmtId="0" fontId="2" fillId="3" borderId="0" xfId="0" applyFont="1" applyFill="1" applyAlignment="1">
      <alignment horizontal="left"/>
    </xf>
    <xf numFmtId="164" fontId="0" fillId="2" borderId="1" xfId="0" applyNumberFormat="1" applyFill="1" applyBorder="1"/>
    <xf numFmtId="0" fontId="0" fillId="2" borderId="2" xfId="0" applyFill="1" applyBorder="1"/>
    <xf numFmtId="0" fontId="1" fillId="4" borderId="3" xfId="0" applyFont="1" applyFill="1" applyBorder="1"/>
    <xf numFmtId="0" fontId="0" fillId="6" borderId="1" xfId="0" applyFill="1" applyBorder="1"/>
    <xf numFmtId="164" fontId="0" fillId="6" borderId="1" xfId="0" applyNumberFormat="1" applyFill="1" applyBorder="1"/>
    <xf numFmtId="0" fontId="2" fillId="3" borderId="0" xfId="0" applyFont="1" applyFill="1" applyAlignment="1">
      <alignment horizontal="left"/>
    </xf>
    <xf numFmtId="164" fontId="0" fillId="0" borderId="1" xfId="0" applyNumberFormat="1" applyBorder="1"/>
    <xf numFmtId="0" fontId="0" fillId="2" borderId="0" xfId="0" applyFill="1" applyAlignment="1">
      <alignment vertical="top" wrapText="1"/>
    </xf>
    <xf numFmtId="0" fontId="1" fillId="2" borderId="0" xfId="0" applyFont="1" applyFill="1" applyAlignment="1">
      <alignment vertical="top"/>
    </xf>
    <xf numFmtId="0" fontId="0" fillId="2" borderId="0" xfId="0" applyFont="1" applyFill="1" applyAlignment="1">
      <alignment horizontal="center"/>
    </xf>
    <xf numFmtId="165" fontId="0" fillId="2" borderId="1" xfId="0" applyNumberFormat="1" applyFill="1" applyBorder="1"/>
    <xf numFmtId="0" fontId="0" fillId="4" borderId="0" xfId="0" applyFill="1" applyAlignment="1">
      <alignment horizontal="left" vertical="top" wrapText="1"/>
    </xf>
    <xf numFmtId="0" fontId="2" fillId="3" borderId="0" xfId="0" applyFont="1" applyFill="1" applyAlignment="1">
      <alignment horizontal="left"/>
    </xf>
    <xf numFmtId="0" fontId="0" fillId="4" borderId="0" xfId="0" applyFill="1" applyAlignment="1">
      <alignment horizontal="left"/>
    </xf>
    <xf numFmtId="0" fontId="0" fillId="2" borderId="0" xfId="0" applyFill="1" applyAlignment="1">
      <alignment horizontal="left"/>
    </xf>
    <xf numFmtId="0" fontId="2" fillId="3" borderId="0" xfId="0" applyFont="1" applyFill="1" applyAlignment="1"/>
    <xf numFmtId="0" fontId="2" fillId="2" borderId="0" xfId="0" applyFont="1" applyFill="1" applyAlignment="1"/>
    <xf numFmtId="0" fontId="0" fillId="4" borderId="0" xfId="0" applyFill="1" applyAlignment="1">
      <alignment horizontal="left" vertical="top"/>
    </xf>
    <xf numFmtId="0" fontId="8" fillId="2" borderId="0" xfId="0" applyFont="1" applyFill="1" applyAlignment="1"/>
    <xf numFmtId="0" fontId="0" fillId="2" borderId="0" xfId="0" applyFont="1" applyFill="1" applyAlignment="1">
      <alignment horizontal="left"/>
    </xf>
    <xf numFmtId="0" fontId="9" fillId="2" borderId="1" xfId="0" applyFont="1" applyFill="1" applyBorder="1"/>
    <xf numFmtId="0" fontId="9" fillId="2" borderId="0" xfId="0" applyFont="1" applyFill="1"/>
    <xf numFmtId="164" fontId="0" fillId="2" borderId="1" xfId="0" applyNumberFormat="1" applyFill="1" applyBorder="1" applyAlignment="1">
      <alignment horizontal="center"/>
    </xf>
    <xf numFmtId="0" fontId="3" fillId="5" borderId="0" xfId="0" applyFont="1" applyFill="1" applyAlignment="1"/>
    <xf numFmtId="0" fontId="0" fillId="6" borderId="2" xfId="0" applyFill="1" applyBorder="1"/>
    <xf numFmtId="164" fontId="0" fillId="6" borderId="1" xfId="0" applyNumberFormat="1" applyFill="1" applyBorder="1" applyAlignment="1">
      <alignment horizontal="center"/>
    </xf>
    <xf numFmtId="0" fontId="0" fillId="2" borderId="1" xfId="0" applyFill="1" applyBorder="1" applyAlignment="1">
      <alignment horizontal="right"/>
    </xf>
    <xf numFmtId="0" fontId="9" fillId="2" borderId="1" xfId="0" applyFont="1" applyFill="1" applyBorder="1" applyAlignment="1">
      <alignment horizontal="right"/>
    </xf>
    <xf numFmtId="0" fontId="9" fillId="2" borderId="0" xfId="0" applyFont="1" applyFill="1" applyAlignment="1">
      <alignment vertical="top"/>
    </xf>
    <xf numFmtId="0" fontId="0" fillId="2" borderId="2" xfId="0" applyFill="1" applyBorder="1" applyAlignment="1">
      <alignment horizontal="center"/>
    </xf>
    <xf numFmtId="0" fontId="0" fillId="6" borderId="2" xfId="0" applyFill="1" applyBorder="1" applyAlignment="1">
      <alignment horizontal="center"/>
    </xf>
    <xf numFmtId="0" fontId="3" fillId="5" borderId="0" xfId="0" applyFont="1" applyFill="1" applyAlignment="1">
      <alignment horizontal="left"/>
    </xf>
    <xf numFmtId="0" fontId="0" fillId="4" borderId="0" xfId="0" applyFill="1" applyAlignment="1">
      <alignment horizontal="left" vertical="top" wrapText="1"/>
    </xf>
    <xf numFmtId="0" fontId="0" fillId="2" borderId="0" xfId="0" applyFill="1" applyAlignment="1">
      <alignment horizontal="left"/>
    </xf>
    <xf numFmtId="0" fontId="0" fillId="4" borderId="0" xfId="0" applyFill="1" applyAlignment="1">
      <alignment horizontal="left"/>
    </xf>
    <xf numFmtId="0" fontId="2" fillId="3" borderId="0" xfId="0" applyFont="1" applyFill="1" applyAlignment="1">
      <alignment horizontal="left"/>
    </xf>
    <xf numFmtId="0" fontId="0" fillId="2" borderId="0" xfId="0" applyFill="1" applyAlignment="1">
      <alignment horizontal="left" vertical="top" wrapText="1"/>
    </xf>
    <xf numFmtId="0" fontId="0" fillId="4" borderId="0" xfId="0" applyFont="1" applyFill="1" applyAlignment="1">
      <alignment horizontal="center"/>
    </xf>
    <xf numFmtId="0" fontId="0" fillId="4" borderId="0" xfId="0" applyFont="1" applyFill="1" applyAlignment="1">
      <alignment horizontal="left" wrapText="1"/>
    </xf>
    <xf numFmtId="0" fontId="2" fillId="2" borderId="0" xfId="0" applyFont="1" applyFill="1" applyAlignment="1">
      <alignment horizontal="left"/>
    </xf>
    <xf numFmtId="164" fontId="0" fillId="2" borderId="2" xfId="0" applyNumberFormat="1" applyFill="1" applyBorder="1"/>
    <xf numFmtId="164" fontId="0" fillId="6" borderId="2" xfId="0" applyNumberFormat="1" applyFill="1" applyBorder="1"/>
  </cellXfs>
  <cellStyles count="1">
    <cellStyle name="Normal" xfId="0" builtinId="0"/>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2</xdr:col>
      <xdr:colOff>238125</xdr:colOff>
      <xdr:row>11</xdr:row>
      <xdr:rowOff>0</xdr:rowOff>
    </xdr:from>
    <xdr:ext cx="65" cy="172227"/>
    <xdr:sp macro="" textlink="">
      <xdr:nvSpPr>
        <xdr:cNvPr id="2" name="TextBox 1">
          <a:extLst>
            <a:ext uri="{FF2B5EF4-FFF2-40B4-BE49-F238E27FC236}">
              <a16:creationId xmlns:a16="http://schemas.microsoft.com/office/drawing/2014/main" id="{E2C3CB7A-4F27-4161-A59F-8E1ECE429509}"/>
            </a:ext>
          </a:extLst>
        </xdr:cNvPr>
        <xdr:cNvSpPr txBox="1"/>
      </xdr:nvSpPr>
      <xdr:spPr>
        <a:xfrm>
          <a:off x="685800" y="25336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ES" sz="1100" b="0"/>
        </a:p>
      </xdr:txBody>
    </xdr:sp>
    <xdr:clientData/>
  </xdr:oneCellAnchor>
  <xdr:twoCellAnchor editAs="oneCell">
    <xdr:from>
      <xdr:col>1</xdr:col>
      <xdr:colOff>171450</xdr:colOff>
      <xdr:row>22</xdr:row>
      <xdr:rowOff>95250</xdr:rowOff>
    </xdr:from>
    <xdr:to>
      <xdr:col>5</xdr:col>
      <xdr:colOff>352425</xdr:colOff>
      <xdr:row>30</xdr:row>
      <xdr:rowOff>9525</xdr:rowOff>
    </xdr:to>
    <xdr:pic>
      <xdr:nvPicPr>
        <xdr:cNvPr id="3" name="Picture 2">
          <a:extLst>
            <a:ext uri="{FF2B5EF4-FFF2-40B4-BE49-F238E27FC236}">
              <a16:creationId xmlns:a16="http://schemas.microsoft.com/office/drawing/2014/main" id="{6577C285-848B-4401-AD35-44A3E9288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81000" y="4724400"/>
          <a:ext cx="3505200" cy="1438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57150</xdr:colOff>
      <xdr:row>21</xdr:row>
      <xdr:rowOff>133350</xdr:rowOff>
    </xdr:from>
    <xdr:to>
      <xdr:col>5</xdr:col>
      <xdr:colOff>571500</xdr:colOff>
      <xdr:row>29</xdr:row>
      <xdr:rowOff>47625</xdr:rowOff>
    </xdr:to>
    <xdr:pic>
      <xdr:nvPicPr>
        <xdr:cNvPr id="3" name="Picture 2">
          <a:extLst>
            <a:ext uri="{FF2B5EF4-FFF2-40B4-BE49-F238E27FC236}">
              <a16:creationId xmlns:a16="http://schemas.microsoft.com/office/drawing/2014/main" id="{D9AC49C4-3E44-4639-93D8-FB7FE7E9AB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4825" y="4543425"/>
          <a:ext cx="3505200" cy="1438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B1:R36"/>
  <sheetViews>
    <sheetView topLeftCell="A7" zoomScaleNormal="100" workbookViewId="0">
      <selection activeCell="G11" sqref="G11"/>
    </sheetView>
  </sheetViews>
  <sheetFormatPr defaultColWidth="11.42578125" defaultRowHeight="15" x14ac:dyDescent="0.25"/>
  <cols>
    <col min="1" max="1" width="3.140625" style="1" customWidth="1"/>
    <col min="2" max="2" width="3.5703125" style="1" customWidth="1"/>
    <col min="3" max="3" width="16.5703125" style="1" customWidth="1"/>
    <col min="4" max="4" width="23.28515625" style="1" customWidth="1"/>
    <col min="5" max="5" width="6.42578125" style="1" customWidth="1"/>
    <col min="6" max="6" width="11.42578125" style="1"/>
    <col min="7" max="7" width="13.7109375" style="1" customWidth="1"/>
    <col min="8" max="8" width="14.140625" style="1" customWidth="1"/>
    <col min="9" max="9" width="9.42578125" style="1" bestFit="1" customWidth="1"/>
    <col min="10" max="10" width="11.85546875" style="1" customWidth="1"/>
    <col min="11" max="11" width="9" style="1" customWidth="1"/>
    <col min="12" max="12" width="7.42578125" style="1" customWidth="1"/>
    <col min="13" max="13" width="7.5703125" style="1" customWidth="1"/>
    <col min="14" max="14" width="8.7109375" style="1" customWidth="1"/>
    <col min="15" max="15" width="7.5703125" style="1" bestFit="1" customWidth="1"/>
    <col min="16" max="16" width="13.85546875" style="1" bestFit="1" customWidth="1"/>
    <col min="17" max="17" width="1.42578125" style="1" customWidth="1"/>
    <col min="18" max="18" width="6.5703125" style="1" customWidth="1"/>
    <col min="19" max="16384" width="11.42578125" style="1"/>
  </cols>
  <sheetData>
    <row r="1" spans="2:18" ht="33.75" x14ac:dyDescent="0.5">
      <c r="B1" s="43" t="s">
        <v>4</v>
      </c>
      <c r="C1" s="43"/>
      <c r="D1" s="43"/>
      <c r="E1" s="43"/>
      <c r="F1" s="43"/>
      <c r="G1" s="28" t="s">
        <v>38</v>
      </c>
      <c r="I1" s="28"/>
      <c r="J1" s="28"/>
      <c r="K1" s="28"/>
    </row>
    <row r="2" spans="2:18" ht="21" x14ac:dyDescent="0.35">
      <c r="C2" s="27" t="s">
        <v>39</v>
      </c>
      <c r="D2" s="28"/>
      <c r="E2" s="28"/>
      <c r="K2" s="24" t="s">
        <v>6</v>
      </c>
      <c r="L2" s="24"/>
      <c r="M2" s="24"/>
      <c r="N2" s="24"/>
    </row>
    <row r="3" spans="2:18" ht="17.25" customHeight="1" x14ac:dyDescent="0.25">
      <c r="C3" s="44" t="s">
        <v>65</v>
      </c>
      <c r="D3" s="44"/>
      <c r="E3" s="44"/>
      <c r="F3" s="44"/>
      <c r="G3" s="44"/>
      <c r="H3" s="44"/>
      <c r="I3" s="44"/>
      <c r="K3" s="5" t="s">
        <v>7</v>
      </c>
      <c r="L3" s="29" t="s">
        <v>47</v>
      </c>
      <c r="M3" s="29"/>
      <c r="N3" s="29"/>
      <c r="O3" s="29"/>
      <c r="P3" s="3"/>
      <c r="Q3" s="3"/>
    </row>
    <row r="4" spans="2:18" ht="15" customHeight="1" x14ac:dyDescent="0.25">
      <c r="C4" s="44"/>
      <c r="D4" s="44"/>
      <c r="E4" s="44"/>
      <c r="F4" s="44"/>
      <c r="G4" s="44"/>
      <c r="H4" s="44"/>
      <c r="I4" s="44"/>
      <c r="K4" s="4" t="s">
        <v>8</v>
      </c>
      <c r="L4" s="29" t="s">
        <v>11</v>
      </c>
      <c r="M4" s="23"/>
      <c r="N4" s="23"/>
      <c r="O4" s="3"/>
      <c r="P4" s="3"/>
      <c r="Q4" s="3"/>
    </row>
    <row r="5" spans="2:18" ht="16.5" customHeight="1" x14ac:dyDescent="0.25">
      <c r="C5" s="44"/>
      <c r="D5" s="44"/>
      <c r="E5" s="44"/>
      <c r="F5" s="44"/>
      <c r="G5" s="44"/>
      <c r="H5" s="44"/>
      <c r="I5" s="44"/>
      <c r="K5" s="4" t="s">
        <v>9</v>
      </c>
      <c r="L5" s="29" t="s">
        <v>10</v>
      </c>
      <c r="M5" s="23"/>
      <c r="N5" s="23"/>
      <c r="O5" s="3"/>
      <c r="P5" s="3"/>
      <c r="Q5" s="3"/>
    </row>
    <row r="6" spans="2:18" x14ac:dyDescent="0.25">
      <c r="C6" s="44"/>
      <c r="D6" s="44"/>
      <c r="E6" s="44"/>
      <c r="F6" s="44"/>
      <c r="G6" s="44"/>
      <c r="H6" s="44"/>
      <c r="I6" s="44"/>
      <c r="K6" s="5" t="s">
        <v>16</v>
      </c>
      <c r="L6" s="25" t="s">
        <v>17</v>
      </c>
      <c r="M6" s="25"/>
      <c r="N6" s="25"/>
      <c r="O6" s="25"/>
      <c r="P6" s="3"/>
      <c r="Q6" s="3"/>
    </row>
    <row r="7" spans="2:18" x14ac:dyDescent="0.25">
      <c r="C7" s="44"/>
      <c r="D7" s="44"/>
      <c r="E7" s="44"/>
      <c r="F7" s="44"/>
      <c r="G7" s="44"/>
      <c r="H7" s="44"/>
      <c r="I7" s="44"/>
      <c r="K7" s="5" t="s">
        <v>42</v>
      </c>
      <c r="L7" s="25" t="s">
        <v>43</v>
      </c>
      <c r="M7" s="25"/>
      <c r="N7" s="25"/>
      <c r="O7" s="25"/>
      <c r="P7" s="3"/>
      <c r="Q7" s="3"/>
    </row>
    <row r="8" spans="2:18" x14ac:dyDescent="0.25">
      <c r="C8" s="44"/>
      <c r="D8" s="44"/>
      <c r="E8" s="44"/>
      <c r="F8" s="44"/>
      <c r="G8" s="44"/>
      <c r="H8" s="44"/>
      <c r="I8" s="44"/>
      <c r="J8" s="19"/>
      <c r="K8" s="19"/>
    </row>
    <row r="10" spans="2:18" ht="21" x14ac:dyDescent="0.35">
      <c r="C10" s="6" t="s">
        <v>12</v>
      </c>
      <c r="D10" s="6"/>
      <c r="E10" s="26"/>
      <c r="N10" s="30"/>
      <c r="O10" s="30"/>
      <c r="P10" s="30"/>
      <c r="Q10" s="30"/>
      <c r="R10" s="30"/>
    </row>
    <row r="11" spans="2:18" x14ac:dyDescent="0.25">
      <c r="C11" s="10" t="s">
        <v>48</v>
      </c>
      <c r="D11" s="10"/>
      <c r="E11" s="10"/>
      <c r="F11" s="10"/>
      <c r="G11" s="10"/>
      <c r="H11" s="31"/>
      <c r="I11" s="30" t="s">
        <v>37</v>
      </c>
    </row>
    <row r="12" spans="2:18" x14ac:dyDescent="0.25">
      <c r="C12" s="2"/>
    </row>
    <row r="13" spans="2:18" x14ac:dyDescent="0.25">
      <c r="C13" s="2"/>
    </row>
    <row r="14" spans="2:18" x14ac:dyDescent="0.25">
      <c r="C14" s="5" t="s">
        <v>13</v>
      </c>
      <c r="D14" s="5" t="s">
        <v>5</v>
      </c>
      <c r="I14" s="14" t="s">
        <v>14</v>
      </c>
      <c r="J14" s="14" t="s">
        <v>41</v>
      </c>
      <c r="K14" s="14" t="s">
        <v>3</v>
      </c>
      <c r="L14" s="14" t="s">
        <v>1</v>
      </c>
      <c r="M14" s="14" t="s">
        <v>0</v>
      </c>
      <c r="N14" s="14" t="s">
        <v>2</v>
      </c>
    </row>
    <row r="15" spans="2:18" x14ac:dyDescent="0.25">
      <c r="C15" s="9" t="s">
        <v>7</v>
      </c>
      <c r="D15" s="38">
        <v>1E-3</v>
      </c>
      <c r="F15" s="45" t="str">
        <f>CONCATENATE("Establecemos una incertidumbre de ",l)</f>
        <v>Establecemos una incertidumbre de 0,001</v>
      </c>
      <c r="G15" s="45"/>
      <c r="H15" s="45"/>
      <c r="I15" s="9">
        <v>0</v>
      </c>
      <c r="J15" s="34" t="str">
        <f t="shared" ref="J15:J29" si="0">IF(OR((M15-L15)&lt;l,N15=0),"SI","NO")</f>
        <v>NO</v>
      </c>
      <c r="K15" s="12">
        <f>a0</f>
        <v>0</v>
      </c>
      <c r="L15" s="12">
        <f>(K15+M15)/2</f>
        <v>1</v>
      </c>
      <c r="M15" s="12">
        <f>b0</f>
        <v>2</v>
      </c>
      <c r="N15" s="12">
        <f t="shared" ref="N15:N29" si="1">Evaluar(diff,L15)</f>
        <v>12</v>
      </c>
    </row>
    <row r="16" spans="2:18" x14ac:dyDescent="0.25">
      <c r="C16" s="9" t="s">
        <v>8</v>
      </c>
      <c r="D16" s="38">
        <v>0</v>
      </c>
      <c r="F16" s="45" t="str">
        <f>CONCATENATE("Buscamos en el intervalo [",a0,", ",b0,"]")</f>
        <v>Buscamos en el intervalo [0, 2]</v>
      </c>
      <c r="G16" s="45"/>
      <c r="H16" s="45"/>
      <c r="I16" s="9">
        <v>1</v>
      </c>
      <c r="J16" s="34" t="str">
        <f t="shared" si="0"/>
        <v>NO</v>
      </c>
      <c r="K16" s="18">
        <f>IF(N15&lt;0,L15,K15)</f>
        <v>0</v>
      </c>
      <c r="L16" s="12">
        <f>(K16+M16)/2</f>
        <v>0.5</v>
      </c>
      <c r="M16" s="18">
        <f>IF(N15&lt;0,M15,L15)</f>
        <v>1</v>
      </c>
      <c r="N16" s="12">
        <f t="shared" si="1"/>
        <v>-20</v>
      </c>
    </row>
    <row r="17" spans="3:14" x14ac:dyDescent="0.25">
      <c r="C17" s="9" t="s">
        <v>9</v>
      </c>
      <c r="D17" s="38">
        <v>2</v>
      </c>
      <c r="I17" s="9">
        <v>2</v>
      </c>
      <c r="J17" s="34" t="str">
        <f t="shared" si="0"/>
        <v>NO</v>
      </c>
      <c r="K17" s="18">
        <f t="shared" ref="K17:K19" si="2">IF(N16&lt;0,L16,K16)</f>
        <v>0.5</v>
      </c>
      <c r="L17" s="12">
        <f t="shared" ref="L17:L29" si="3">(K17+M17)/2</f>
        <v>0.75</v>
      </c>
      <c r="M17" s="18">
        <f t="shared" ref="M17:M19" si="4">IF(N16&lt;0,M16,L16)</f>
        <v>1</v>
      </c>
      <c r="N17" s="12">
        <f t="shared" si="1"/>
        <v>-1.9375</v>
      </c>
    </row>
    <row r="18" spans="3:14" x14ac:dyDescent="0.25">
      <c r="C18" s="9" t="s">
        <v>16</v>
      </c>
      <c r="D18" s="38" t="s">
        <v>44</v>
      </c>
      <c r="F18" s="1" t="s">
        <v>18</v>
      </c>
      <c r="I18" s="9">
        <v>3</v>
      </c>
      <c r="J18" s="34" t="str">
        <f t="shared" si="0"/>
        <v>NO</v>
      </c>
      <c r="K18" s="18">
        <f t="shared" si="2"/>
        <v>0.75</v>
      </c>
      <c r="L18" s="12">
        <f t="shared" si="3"/>
        <v>0.875</v>
      </c>
      <c r="M18" s="18">
        <f t="shared" si="4"/>
        <v>1</v>
      </c>
      <c r="N18" s="12">
        <f t="shared" si="1"/>
        <v>5.5234375</v>
      </c>
    </row>
    <row r="19" spans="3:14" x14ac:dyDescent="0.25">
      <c r="C19" s="9" t="s">
        <v>42</v>
      </c>
      <c r="D19" s="38" t="s">
        <v>45</v>
      </c>
      <c r="F19" s="1" t="s">
        <v>46</v>
      </c>
      <c r="I19" s="9">
        <v>4</v>
      </c>
      <c r="J19" s="34" t="str">
        <f t="shared" si="0"/>
        <v>NO</v>
      </c>
      <c r="K19" s="18">
        <f t="shared" si="2"/>
        <v>0.75</v>
      </c>
      <c r="L19" s="12">
        <f t="shared" si="3"/>
        <v>0.8125</v>
      </c>
      <c r="M19" s="18">
        <f t="shared" si="4"/>
        <v>0.875</v>
      </c>
      <c r="N19" s="12">
        <f t="shared" si="1"/>
        <v>1.9189453125</v>
      </c>
    </row>
    <row r="20" spans="3:14" x14ac:dyDescent="0.25">
      <c r="C20" s="32" t="s">
        <v>63</v>
      </c>
      <c r="D20" s="39">
        <f>VLOOKUP("SI",J14:L29,3,FALSE)</f>
        <v>0.7802734375</v>
      </c>
      <c r="E20" s="33"/>
      <c r="F20" s="33" t="s">
        <v>66</v>
      </c>
      <c r="I20" s="9">
        <v>5</v>
      </c>
      <c r="J20" s="34" t="str">
        <f t="shared" si="0"/>
        <v>NO</v>
      </c>
      <c r="K20" s="18">
        <f t="shared" ref="K20:K29" si="5">IF(N19&lt;0,L19,K19)</f>
        <v>0.75</v>
      </c>
      <c r="L20" s="12">
        <f t="shared" si="3"/>
        <v>0.78125</v>
      </c>
      <c r="M20" s="18">
        <f t="shared" ref="M20:M29" si="6">IF(N19&lt;0,M19,L19)</f>
        <v>0.8125</v>
      </c>
      <c r="N20" s="12">
        <f t="shared" si="1"/>
        <v>2.25830078125E-2</v>
      </c>
    </row>
    <row r="21" spans="3:14" x14ac:dyDescent="0.25">
      <c r="C21" s="32" t="s">
        <v>64</v>
      </c>
      <c r="D21" s="39">
        <f>Evaluar(ec,D20)</f>
        <v>-24.369590058106951</v>
      </c>
      <c r="F21" s="33" t="s">
        <v>67</v>
      </c>
      <c r="I21" s="9">
        <v>6</v>
      </c>
      <c r="J21" s="34" t="str">
        <f t="shared" si="0"/>
        <v>NO</v>
      </c>
      <c r="K21" s="18">
        <f t="shared" si="5"/>
        <v>0.75</v>
      </c>
      <c r="L21" s="12">
        <f t="shared" si="3"/>
        <v>0.765625</v>
      </c>
      <c r="M21" s="18">
        <f t="shared" si="6"/>
        <v>0.78125</v>
      </c>
      <c r="N21" s="12">
        <f t="shared" si="1"/>
        <v>-0.9494476318359375</v>
      </c>
    </row>
    <row r="22" spans="3:14" x14ac:dyDescent="0.25">
      <c r="I22" s="9">
        <v>7</v>
      </c>
      <c r="J22" s="34" t="str">
        <f t="shared" si="0"/>
        <v>NO</v>
      </c>
      <c r="K22" s="18">
        <f t="shared" si="5"/>
        <v>0.765625</v>
      </c>
      <c r="L22" s="12">
        <f t="shared" si="3"/>
        <v>0.7734375</v>
      </c>
      <c r="M22" s="18">
        <f t="shared" si="6"/>
        <v>0.78125</v>
      </c>
      <c r="N22" s="12">
        <f t="shared" si="1"/>
        <v>-0.46143531799316406</v>
      </c>
    </row>
    <row r="23" spans="3:14" x14ac:dyDescent="0.25">
      <c r="I23" s="9">
        <v>8</v>
      </c>
      <c r="J23" s="34" t="str">
        <f t="shared" si="0"/>
        <v>NO</v>
      </c>
      <c r="K23" s="18">
        <f t="shared" si="5"/>
        <v>0.7734375</v>
      </c>
      <c r="L23" s="12">
        <f t="shared" si="3"/>
        <v>0.77734375</v>
      </c>
      <c r="M23" s="18">
        <f t="shared" si="6"/>
        <v>0.78125</v>
      </c>
      <c r="N23" s="12">
        <f t="shared" si="1"/>
        <v>-0.21892762184143066</v>
      </c>
    </row>
    <row r="24" spans="3:14" x14ac:dyDescent="0.25">
      <c r="I24" s="9">
        <v>9</v>
      </c>
      <c r="J24" s="34" t="str">
        <f t="shared" si="0"/>
        <v>NO</v>
      </c>
      <c r="K24" s="18">
        <f t="shared" si="5"/>
        <v>0.77734375</v>
      </c>
      <c r="L24" s="12">
        <f t="shared" si="3"/>
        <v>0.779296875</v>
      </c>
      <c r="M24" s="18">
        <f t="shared" si="6"/>
        <v>0.78125</v>
      </c>
      <c r="N24" s="12">
        <f t="shared" si="1"/>
        <v>-9.8047763109207153E-2</v>
      </c>
    </row>
    <row r="25" spans="3:14" x14ac:dyDescent="0.25">
      <c r="I25" s="15">
        <v>10</v>
      </c>
      <c r="J25" s="37" t="str">
        <f t="shared" si="0"/>
        <v>SI</v>
      </c>
      <c r="K25" s="16">
        <f t="shared" si="5"/>
        <v>0.779296875</v>
      </c>
      <c r="L25" s="16">
        <f t="shared" si="3"/>
        <v>0.7802734375</v>
      </c>
      <c r="M25" s="16">
        <f t="shared" si="6"/>
        <v>0.78125</v>
      </c>
      <c r="N25" s="16">
        <f t="shared" si="1"/>
        <v>-3.7701252847909927E-2</v>
      </c>
    </row>
    <row r="26" spans="3:14" x14ac:dyDescent="0.25">
      <c r="I26" s="15">
        <v>11</v>
      </c>
      <c r="J26" s="37" t="str">
        <f t="shared" si="0"/>
        <v>SI</v>
      </c>
      <c r="K26" s="16">
        <f t="shared" si="5"/>
        <v>0.7802734375</v>
      </c>
      <c r="L26" s="16">
        <f t="shared" si="3"/>
        <v>0.78076171875</v>
      </c>
      <c r="M26" s="16">
        <f t="shared" si="6"/>
        <v>0.78125</v>
      </c>
      <c r="N26" s="16">
        <f t="shared" si="1"/>
        <v>-7.5513427145779133E-3</v>
      </c>
    </row>
    <row r="27" spans="3:14" x14ac:dyDescent="0.25">
      <c r="I27" s="15">
        <v>12</v>
      </c>
      <c r="J27" s="37" t="str">
        <f t="shared" si="0"/>
        <v>SI</v>
      </c>
      <c r="K27" s="16">
        <f t="shared" si="5"/>
        <v>0.78076171875</v>
      </c>
      <c r="L27" s="16">
        <f t="shared" si="3"/>
        <v>0.781005859375</v>
      </c>
      <c r="M27" s="16">
        <f t="shared" si="6"/>
        <v>0.78125</v>
      </c>
      <c r="N27" s="16">
        <f t="shared" si="1"/>
        <v>7.5177773251198232E-3</v>
      </c>
    </row>
    <row r="28" spans="3:14" x14ac:dyDescent="0.25">
      <c r="I28" s="15">
        <v>13</v>
      </c>
      <c r="J28" s="37" t="str">
        <f t="shared" si="0"/>
        <v>SI</v>
      </c>
      <c r="K28" s="16">
        <f t="shared" si="5"/>
        <v>0.78076171875</v>
      </c>
      <c r="L28" s="16">
        <f t="shared" si="3"/>
        <v>0.7808837890625</v>
      </c>
      <c r="M28" s="16">
        <f t="shared" si="6"/>
        <v>0.781005859375</v>
      </c>
      <c r="N28" s="16">
        <f t="shared" si="1"/>
        <v>-1.6296478861477226E-5</v>
      </c>
    </row>
    <row r="29" spans="3:14" x14ac:dyDescent="0.25">
      <c r="I29" s="15">
        <v>14</v>
      </c>
      <c r="J29" s="37" t="str">
        <f t="shared" si="0"/>
        <v>SI</v>
      </c>
      <c r="K29" s="16">
        <f t="shared" si="5"/>
        <v>0.7808837890625</v>
      </c>
      <c r="L29" s="16">
        <f t="shared" si="3"/>
        <v>0.78094482421875</v>
      </c>
      <c r="M29" s="16">
        <f t="shared" si="6"/>
        <v>0.781005859375</v>
      </c>
      <c r="N29" s="16">
        <f t="shared" si="1"/>
        <v>3.7508619743675808E-3</v>
      </c>
    </row>
    <row r="32" spans="3:14" ht="15" customHeight="1" x14ac:dyDescent="0.25">
      <c r="C32" s="44" t="s">
        <v>73</v>
      </c>
      <c r="D32" s="44"/>
      <c r="E32" s="44"/>
      <c r="F32" s="44"/>
      <c r="G32" s="44"/>
      <c r="H32" s="44"/>
    </row>
    <row r="33" spans="3:8" x14ac:dyDescent="0.25">
      <c r="C33" s="44"/>
      <c r="D33" s="44"/>
      <c r="E33" s="44"/>
      <c r="F33" s="44"/>
      <c r="G33" s="44"/>
      <c r="H33" s="44"/>
    </row>
    <row r="34" spans="3:8" x14ac:dyDescent="0.25">
      <c r="C34" s="44"/>
      <c r="D34" s="44"/>
      <c r="E34" s="44"/>
      <c r="F34" s="44"/>
      <c r="G34" s="44"/>
      <c r="H34" s="44"/>
    </row>
    <row r="35" spans="3:8" x14ac:dyDescent="0.25">
      <c r="C35" s="19"/>
      <c r="D35" s="19"/>
      <c r="E35" s="19"/>
      <c r="F35" s="19"/>
      <c r="G35" s="19"/>
      <c r="H35" s="19"/>
    </row>
    <row r="36" spans="3:8" x14ac:dyDescent="0.25">
      <c r="C36" s="19"/>
      <c r="D36" s="19"/>
      <c r="E36" s="19"/>
      <c r="F36" s="19"/>
      <c r="G36" s="19"/>
      <c r="H36" s="19"/>
    </row>
  </sheetData>
  <mergeCells count="5">
    <mergeCell ref="B1:F1"/>
    <mergeCell ref="C3:I8"/>
    <mergeCell ref="F16:H16"/>
    <mergeCell ref="F15:H15"/>
    <mergeCell ref="C32:H34"/>
  </mergeCells>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B1:R39"/>
  <sheetViews>
    <sheetView tabSelected="1" topLeftCell="A22" workbookViewId="0">
      <selection activeCell="C3" sqref="C3:K8"/>
    </sheetView>
  </sheetViews>
  <sheetFormatPr defaultColWidth="11.42578125" defaultRowHeight="15" x14ac:dyDescent="0.25"/>
  <cols>
    <col min="1" max="1" width="3.140625" style="1" customWidth="1"/>
    <col min="2" max="2" width="3.5703125" style="1" customWidth="1"/>
    <col min="3" max="3" width="15.85546875" style="1" customWidth="1"/>
    <col min="4" max="4" width="22.5703125" style="1" customWidth="1"/>
    <col min="5" max="5" width="6.42578125" style="1" customWidth="1"/>
    <col min="6" max="6" width="11.42578125" style="1"/>
    <col min="7" max="7" width="6.5703125" style="1" customWidth="1"/>
    <col min="8" max="8" width="5.85546875" style="1" customWidth="1"/>
    <col min="9" max="9" width="9.42578125" style="1" customWidth="1"/>
    <col min="10" max="10" width="13.140625" style="1" customWidth="1"/>
    <col min="11" max="11" width="11.28515625" style="1" bestFit="1" customWidth="1"/>
    <col min="12" max="13" width="11.7109375" style="1" customWidth="1"/>
    <col min="14" max="14" width="12" style="1" customWidth="1"/>
    <col min="15" max="15" width="11.85546875" style="1" customWidth="1"/>
    <col min="16" max="16" width="13.85546875" style="1" customWidth="1"/>
    <col min="17" max="17" width="11.42578125" style="1"/>
    <col min="18" max="18" width="3.5703125" style="1" customWidth="1"/>
    <col min="19" max="16384" width="11.42578125" style="1"/>
  </cols>
  <sheetData>
    <row r="1" spans="2:18" ht="33.75" x14ac:dyDescent="0.5">
      <c r="B1" s="35" t="s">
        <v>4</v>
      </c>
      <c r="C1" s="35"/>
      <c r="D1" s="35"/>
      <c r="E1" s="35"/>
      <c r="F1" s="35"/>
      <c r="G1" s="28" t="s">
        <v>38</v>
      </c>
      <c r="I1" s="28"/>
      <c r="J1" s="28"/>
      <c r="K1" s="28"/>
    </row>
    <row r="2" spans="2:18" ht="21" x14ac:dyDescent="0.35">
      <c r="C2" s="47" t="s">
        <v>40</v>
      </c>
      <c r="D2" s="47"/>
      <c r="E2" s="28"/>
      <c r="M2" s="47" t="s">
        <v>6</v>
      </c>
      <c r="N2" s="47"/>
      <c r="O2" s="47"/>
    </row>
    <row r="3" spans="2:18" x14ac:dyDescent="0.25">
      <c r="C3" s="44" t="s">
        <v>74</v>
      </c>
      <c r="D3" s="44"/>
      <c r="E3" s="44"/>
      <c r="F3" s="44"/>
      <c r="G3" s="44"/>
      <c r="H3" s="44"/>
      <c r="I3" s="44"/>
      <c r="J3" s="44"/>
      <c r="K3" s="44"/>
      <c r="M3" s="4" t="s">
        <v>52</v>
      </c>
      <c r="N3" s="44" t="s">
        <v>53</v>
      </c>
      <c r="O3" s="44"/>
      <c r="P3" s="44"/>
      <c r="Q3" s="44"/>
      <c r="R3" s="44"/>
    </row>
    <row r="4" spans="2:18" x14ac:dyDescent="0.25">
      <c r="C4" s="44"/>
      <c r="D4" s="44"/>
      <c r="E4" s="44"/>
      <c r="F4" s="44"/>
      <c r="G4" s="44"/>
      <c r="H4" s="44"/>
      <c r="I4" s="44"/>
      <c r="J4" s="44"/>
      <c r="K4" s="44"/>
      <c r="M4" s="4" t="s">
        <v>59</v>
      </c>
      <c r="N4" s="44" t="s">
        <v>55</v>
      </c>
      <c r="O4" s="44"/>
      <c r="P4" s="44"/>
      <c r="Q4" s="44"/>
      <c r="R4" s="44"/>
    </row>
    <row r="5" spans="2:18" ht="16.5" customHeight="1" x14ac:dyDescent="0.25">
      <c r="C5" s="44"/>
      <c r="D5" s="44"/>
      <c r="E5" s="44"/>
      <c r="F5" s="44"/>
      <c r="G5" s="44"/>
      <c r="H5" s="44"/>
      <c r="I5" s="44"/>
      <c r="J5" s="44"/>
      <c r="K5" s="44"/>
      <c r="M5" s="5" t="s">
        <v>16</v>
      </c>
      <c r="N5" s="46" t="s">
        <v>17</v>
      </c>
      <c r="O5" s="46"/>
      <c r="P5" s="46"/>
      <c r="Q5" s="46"/>
      <c r="R5" s="46"/>
    </row>
    <row r="6" spans="2:18" x14ac:dyDescent="0.25">
      <c r="C6" s="44"/>
      <c r="D6" s="44"/>
      <c r="E6" s="44"/>
      <c r="F6" s="44"/>
      <c r="G6" s="44"/>
      <c r="H6" s="44"/>
      <c r="I6" s="44"/>
      <c r="J6" s="44"/>
      <c r="K6" s="44"/>
      <c r="M6" s="5" t="s">
        <v>42</v>
      </c>
      <c r="N6" s="46" t="s">
        <v>43</v>
      </c>
      <c r="O6" s="46"/>
      <c r="P6" s="46"/>
      <c r="Q6" s="46"/>
      <c r="R6" s="46"/>
    </row>
    <row r="7" spans="2:18" x14ac:dyDescent="0.25">
      <c r="C7" s="44"/>
      <c r="D7" s="44"/>
      <c r="E7" s="44"/>
      <c r="F7" s="44"/>
      <c r="G7" s="44"/>
      <c r="H7" s="44"/>
      <c r="I7" s="44"/>
      <c r="J7" s="44"/>
      <c r="K7" s="44"/>
      <c r="M7" s="5" t="s">
        <v>57</v>
      </c>
      <c r="N7" s="46" t="s">
        <v>58</v>
      </c>
      <c r="O7" s="46"/>
      <c r="P7" s="46"/>
      <c r="Q7" s="46"/>
      <c r="R7" s="46"/>
    </row>
    <row r="8" spans="2:18" x14ac:dyDescent="0.25">
      <c r="C8" s="44"/>
      <c r="D8" s="44"/>
      <c r="E8" s="44"/>
      <c r="F8" s="44"/>
      <c r="G8" s="44"/>
      <c r="H8" s="44"/>
      <c r="I8" s="44"/>
      <c r="J8" s="44"/>
      <c r="K8" s="44"/>
    </row>
    <row r="10" spans="2:18" ht="21" x14ac:dyDescent="0.35">
      <c r="C10" s="11" t="s">
        <v>12</v>
      </c>
      <c r="D10" s="11"/>
      <c r="E10" s="26"/>
    </row>
    <row r="11" spans="2:18" x14ac:dyDescent="0.25">
      <c r="C11" s="10" t="s">
        <v>48</v>
      </c>
      <c r="D11" s="10"/>
      <c r="E11" s="10"/>
      <c r="F11" s="10"/>
      <c r="G11" s="10"/>
      <c r="H11" s="10"/>
      <c r="I11" s="31"/>
      <c r="J11" s="26"/>
    </row>
    <row r="12" spans="2:18" x14ac:dyDescent="0.25">
      <c r="C12" s="2"/>
    </row>
    <row r="13" spans="2:18" x14ac:dyDescent="0.25">
      <c r="C13" s="2"/>
    </row>
    <row r="14" spans="2:18" x14ac:dyDescent="0.25">
      <c r="C14" s="5" t="s">
        <v>13</v>
      </c>
      <c r="D14" s="5" t="s">
        <v>5</v>
      </c>
      <c r="K14" s="14" t="s">
        <v>14</v>
      </c>
      <c r="L14" s="14" t="s">
        <v>41</v>
      </c>
      <c r="M14" s="14" t="s">
        <v>1</v>
      </c>
      <c r="N14" s="14" t="s">
        <v>60</v>
      </c>
      <c r="O14" s="14" t="s">
        <v>61</v>
      </c>
    </row>
    <row r="15" spans="2:18" x14ac:dyDescent="0.25">
      <c r="C15" s="8" t="s">
        <v>51</v>
      </c>
      <c r="D15" s="9">
        <v>50</v>
      </c>
      <c r="F15" s="45" t="s">
        <v>49</v>
      </c>
      <c r="G15" s="45"/>
      <c r="H15" s="45"/>
      <c r="K15" s="13">
        <v>0</v>
      </c>
      <c r="L15" s="41" t="s">
        <v>62</v>
      </c>
      <c r="M15" s="52">
        <f>lambda</f>
        <v>50</v>
      </c>
      <c r="N15" s="52">
        <f t="shared" ref="N15:N28" si="0">Evaluar(diff_n,M15)</f>
        <v>400930</v>
      </c>
      <c r="O15" s="52">
        <f t="shared" ref="O15:O28" si="1">Evaluar(diff_2_n,M15)</f>
        <v>25920</v>
      </c>
    </row>
    <row r="16" spans="2:18" x14ac:dyDescent="0.25">
      <c r="C16" s="8" t="s">
        <v>54</v>
      </c>
      <c r="D16" s="9">
        <v>1E-4</v>
      </c>
      <c r="F16" s="45" t="s">
        <v>68</v>
      </c>
      <c r="G16" s="45"/>
      <c r="H16" s="45"/>
      <c r="K16" s="13">
        <v>1</v>
      </c>
      <c r="L16" s="41" t="str">
        <f t="shared" ref="L16:L28" si="2">IF(OR(ABS(M16-M15)&lt;eps,N16&lt;eps),"SI","NO")</f>
        <v>NO</v>
      </c>
      <c r="M16" s="52">
        <f>M15-(N15/O15)</f>
        <v>34.532021604938272</v>
      </c>
      <c r="N16" s="52">
        <f t="shared" si="0"/>
        <v>118702.79013869683</v>
      </c>
      <c r="O16" s="52">
        <f t="shared" si="1"/>
        <v>11528.836378672289</v>
      </c>
    </row>
    <row r="17" spans="3:15" x14ac:dyDescent="0.25">
      <c r="C17" s="9" t="s">
        <v>16</v>
      </c>
      <c r="D17" s="38" t="s">
        <v>44</v>
      </c>
      <c r="F17" s="1" t="s">
        <v>69</v>
      </c>
      <c r="K17" s="13">
        <v>2</v>
      </c>
      <c r="L17" s="41" t="str">
        <f t="shared" si="2"/>
        <v>NO</v>
      </c>
      <c r="M17" s="52">
        <f t="shared" ref="M17:M28" si="3">M16-(N16/O16)</f>
        <v>24.235857600191842</v>
      </c>
      <c r="N17" s="52">
        <f t="shared" si="0"/>
        <v>35110.798891132072</v>
      </c>
      <c r="O17" s="52">
        <f t="shared" si="1"/>
        <v>5132.7094849851846</v>
      </c>
    </row>
    <row r="18" spans="3:15" x14ac:dyDescent="0.25">
      <c r="C18" s="9" t="s">
        <v>42</v>
      </c>
      <c r="D18" s="38" t="s">
        <v>45</v>
      </c>
      <c r="F18" s="1" t="s">
        <v>70</v>
      </c>
      <c r="K18" s="13">
        <v>3</v>
      </c>
      <c r="L18" s="41" t="str">
        <f t="shared" si="2"/>
        <v>NO</v>
      </c>
      <c r="M18" s="52">
        <f t="shared" si="3"/>
        <v>17.395260252174701</v>
      </c>
      <c r="N18" s="52">
        <f t="shared" si="0"/>
        <v>10363.318519834389</v>
      </c>
      <c r="O18" s="52">
        <f t="shared" si="1"/>
        <v>2289.9390897079938</v>
      </c>
    </row>
    <row r="19" spans="3:15" x14ac:dyDescent="0.25">
      <c r="C19" s="9" t="s">
        <v>50</v>
      </c>
      <c r="D19" s="38" t="s">
        <v>56</v>
      </c>
      <c r="F19" s="1" t="s">
        <v>71</v>
      </c>
      <c r="K19" s="13">
        <v>4</v>
      </c>
      <c r="L19" s="41" t="str">
        <f t="shared" si="2"/>
        <v>NO</v>
      </c>
      <c r="M19" s="52">
        <f t="shared" si="3"/>
        <v>12.869673276341256</v>
      </c>
      <c r="N19" s="52">
        <f t="shared" si="0"/>
        <v>3044.3024216487438</v>
      </c>
      <c r="O19" s="52">
        <f t="shared" si="1"/>
        <v>1026.4893276646121</v>
      </c>
    </row>
    <row r="20" spans="3:15" x14ac:dyDescent="0.25">
      <c r="C20" s="32" t="s">
        <v>63</v>
      </c>
      <c r="D20" s="32">
        <f>VLOOKUP("SI",L14:N28,2,FALSE)</f>
        <v>5.9571951416830613</v>
      </c>
      <c r="E20" s="19"/>
      <c r="F20" s="40" t="s">
        <v>66</v>
      </c>
      <c r="G20" s="19"/>
      <c r="K20" s="13">
        <v>5</v>
      </c>
      <c r="L20" s="41" t="str">
        <f t="shared" si="2"/>
        <v>NO</v>
      </c>
      <c r="M20" s="52">
        <f t="shared" si="3"/>
        <v>9.9039313639777813</v>
      </c>
      <c r="N20" s="52">
        <f t="shared" si="0"/>
        <v>884.60338442982993</v>
      </c>
      <c r="O20" s="52">
        <f t="shared" si="1"/>
        <v>465.1240429744596</v>
      </c>
    </row>
    <row r="21" spans="3:15" x14ac:dyDescent="0.25">
      <c r="C21" s="32" t="s">
        <v>64</v>
      </c>
      <c r="D21" s="32">
        <f>Evaluar(ec_g,D20)</f>
        <v>11.957583487480463</v>
      </c>
      <c r="E21" s="19"/>
      <c r="F21" s="40" t="s">
        <v>67</v>
      </c>
      <c r="G21" s="19"/>
      <c r="K21" s="13">
        <v>6</v>
      </c>
      <c r="L21" s="41" t="str">
        <f t="shared" si="2"/>
        <v>NO</v>
      </c>
      <c r="M21" s="52">
        <f t="shared" si="3"/>
        <v>8.0020658341444761</v>
      </c>
      <c r="N21" s="52">
        <f t="shared" si="0"/>
        <v>250.44645066469138</v>
      </c>
      <c r="O21" s="52">
        <f t="shared" si="1"/>
        <v>216.22316129965236</v>
      </c>
    </row>
    <row r="22" spans="3:15" ht="15" customHeight="1" x14ac:dyDescent="0.25">
      <c r="C22" s="19"/>
      <c r="D22" s="19"/>
      <c r="E22" s="19"/>
      <c r="F22" s="19"/>
      <c r="G22" s="19"/>
      <c r="K22" s="13">
        <v>7</v>
      </c>
      <c r="L22" s="41" t="str">
        <f t="shared" si="2"/>
        <v>NO</v>
      </c>
      <c r="M22" s="52">
        <f t="shared" si="3"/>
        <v>6.8437882048686252</v>
      </c>
      <c r="N22" s="52">
        <f t="shared" si="0"/>
        <v>66.264226232671945</v>
      </c>
      <c r="O22" s="52">
        <f t="shared" si="1"/>
        <v>107.17103470822292</v>
      </c>
    </row>
    <row r="23" spans="3:15" x14ac:dyDescent="0.25">
      <c r="C23" s="19"/>
      <c r="D23" s="19"/>
      <c r="E23" s="19"/>
      <c r="F23" s="19"/>
      <c r="G23" s="19"/>
      <c r="K23" s="13">
        <v>8</v>
      </c>
      <c r="L23" s="41" t="str">
        <f t="shared" si="2"/>
        <v>NO</v>
      </c>
      <c r="M23" s="52">
        <f t="shared" si="3"/>
        <v>6.2254847013792851</v>
      </c>
      <c r="N23" s="52">
        <f t="shared" si="0"/>
        <v>14.394423773758263</v>
      </c>
      <c r="O23" s="52">
        <f t="shared" si="1"/>
        <v>62.139202289430671</v>
      </c>
    </row>
    <row r="24" spans="3:15" x14ac:dyDescent="0.25">
      <c r="C24" s="48"/>
      <c r="D24" s="48"/>
      <c r="E24" s="48"/>
      <c r="F24" s="48"/>
      <c r="G24" s="48"/>
      <c r="K24" s="13">
        <v>9</v>
      </c>
      <c r="L24" s="41" t="str">
        <f t="shared" si="2"/>
        <v>NO</v>
      </c>
      <c r="M24" s="52">
        <f t="shared" si="3"/>
        <v>5.9938366717391194</v>
      </c>
      <c r="N24" s="52">
        <f t="shared" si="0"/>
        <v>1.7052989054393493</v>
      </c>
      <c r="O24" s="52">
        <f t="shared" si="1"/>
        <v>47.630656143730221</v>
      </c>
    </row>
    <row r="25" spans="3:15" x14ac:dyDescent="0.25">
      <c r="C25" s="48"/>
      <c r="D25" s="48"/>
      <c r="E25" s="48"/>
      <c r="F25" s="48"/>
      <c r="G25" s="48"/>
      <c r="K25" s="13">
        <v>10</v>
      </c>
      <c r="L25" s="41" t="str">
        <f t="shared" si="2"/>
        <v>NO</v>
      </c>
      <c r="M25" s="52">
        <f t="shared" si="3"/>
        <v>5.9580341226351674</v>
      </c>
      <c r="N25" s="52">
        <f t="shared" si="0"/>
        <v>3.8176302099486747E-2</v>
      </c>
      <c r="O25" s="52">
        <f t="shared" si="1"/>
        <v>45.503180976466183</v>
      </c>
    </row>
    <row r="26" spans="3:15" ht="15" customHeight="1" x14ac:dyDescent="0.25">
      <c r="C26" s="48"/>
      <c r="D26" s="48"/>
      <c r="E26" s="48"/>
      <c r="F26" s="48"/>
      <c r="G26" s="48"/>
      <c r="K26" s="36">
        <v>11</v>
      </c>
      <c r="L26" s="42" t="str">
        <f t="shared" si="2"/>
        <v>SI</v>
      </c>
      <c r="M26" s="53">
        <f t="shared" si="3"/>
        <v>5.9571951416830613</v>
      </c>
      <c r="N26" s="53">
        <f t="shared" si="0"/>
        <v>2.0759836843353696E-5</v>
      </c>
      <c r="O26" s="53">
        <f t="shared" si="1"/>
        <v>45.453695571730066</v>
      </c>
    </row>
    <row r="27" spans="3:15" ht="15" customHeight="1" x14ac:dyDescent="0.25">
      <c r="C27" s="19"/>
      <c r="D27" s="19"/>
      <c r="E27" s="19"/>
      <c r="F27" s="19"/>
      <c r="G27" s="19"/>
      <c r="K27" s="36">
        <v>12</v>
      </c>
      <c r="L27" s="42" t="str">
        <f t="shared" si="2"/>
        <v>SI</v>
      </c>
      <c r="M27" s="53">
        <f t="shared" si="3"/>
        <v>5.957194684958111</v>
      </c>
      <c r="N27" s="53">
        <f t="shared" si="0"/>
        <v>6.2527760746888816E-12</v>
      </c>
      <c r="O27" s="53">
        <f t="shared" si="1"/>
        <v>45.453668637436579</v>
      </c>
    </row>
    <row r="28" spans="3:15" x14ac:dyDescent="0.25">
      <c r="C28" s="19"/>
      <c r="D28" s="19"/>
      <c r="E28" s="19"/>
      <c r="F28" s="19"/>
      <c r="G28" s="19"/>
      <c r="K28" s="36">
        <v>13</v>
      </c>
      <c r="L28" s="42" t="str">
        <f t="shared" si="2"/>
        <v>SI</v>
      </c>
      <c r="M28" s="53">
        <f t="shared" si="3"/>
        <v>5.9571946849579733</v>
      </c>
      <c r="N28" s="53">
        <f t="shared" si="0"/>
        <v>-2.2737367544323206E-13</v>
      </c>
      <c r="O28" s="53">
        <f t="shared" si="1"/>
        <v>45.453668637428336</v>
      </c>
    </row>
    <row r="30" spans="3:15" ht="15" customHeight="1" x14ac:dyDescent="0.25"/>
    <row r="31" spans="3:15" ht="15" customHeight="1" x14ac:dyDescent="0.25">
      <c r="C31" s="44" t="s">
        <v>72</v>
      </c>
      <c r="D31" s="44"/>
      <c r="E31" s="44"/>
      <c r="F31" s="44"/>
      <c r="G31" s="44"/>
      <c r="H31" s="44"/>
      <c r="I31" s="44"/>
      <c r="J31" s="44"/>
    </row>
    <row r="32" spans="3:15" x14ac:dyDescent="0.25">
      <c r="C32" s="44"/>
      <c r="D32" s="44"/>
      <c r="E32" s="44"/>
      <c r="F32" s="44"/>
      <c r="G32" s="44"/>
      <c r="H32" s="44"/>
      <c r="I32" s="44"/>
      <c r="J32" s="44"/>
    </row>
    <row r="33" spans="3:10" x14ac:dyDescent="0.25">
      <c r="C33" s="44"/>
      <c r="D33" s="44"/>
      <c r="E33" s="44"/>
      <c r="F33" s="44"/>
      <c r="G33" s="44"/>
      <c r="H33" s="44"/>
      <c r="I33" s="44"/>
      <c r="J33" s="44"/>
    </row>
    <row r="34" spans="3:10" x14ac:dyDescent="0.25">
      <c r="C34" s="44"/>
      <c r="D34" s="44"/>
      <c r="E34" s="44"/>
      <c r="F34" s="44"/>
      <c r="G34" s="44"/>
      <c r="H34" s="44"/>
      <c r="I34" s="44"/>
      <c r="J34" s="44"/>
    </row>
    <row r="35" spans="3:10" x14ac:dyDescent="0.25">
      <c r="C35" s="44"/>
      <c r="D35" s="44"/>
      <c r="E35" s="44"/>
      <c r="F35" s="44"/>
      <c r="G35" s="44"/>
      <c r="H35" s="44"/>
      <c r="I35" s="44"/>
      <c r="J35" s="44"/>
    </row>
    <row r="36" spans="3:10" x14ac:dyDescent="0.25">
      <c r="C36" s="19"/>
      <c r="D36" s="19"/>
      <c r="E36" s="19"/>
      <c r="F36" s="19"/>
      <c r="G36" s="19"/>
      <c r="H36" s="19"/>
      <c r="I36" s="19"/>
      <c r="J36" s="19"/>
    </row>
    <row r="37" spans="3:10" x14ac:dyDescent="0.25">
      <c r="C37" s="19"/>
      <c r="D37" s="19"/>
      <c r="E37" s="19"/>
      <c r="F37" s="19"/>
      <c r="G37" s="19"/>
      <c r="H37" s="19"/>
      <c r="I37" s="19"/>
      <c r="J37" s="19"/>
    </row>
    <row r="38" spans="3:10" x14ac:dyDescent="0.25">
      <c r="C38" s="19"/>
      <c r="D38" s="19"/>
      <c r="E38" s="19"/>
      <c r="F38" s="19"/>
      <c r="G38" s="19"/>
      <c r="H38" s="19"/>
      <c r="I38" s="19"/>
      <c r="J38" s="19"/>
    </row>
    <row r="39" spans="3:10" x14ac:dyDescent="0.25">
      <c r="C39" s="19"/>
      <c r="D39" s="19"/>
      <c r="E39" s="19"/>
      <c r="F39" s="19"/>
      <c r="G39" s="19"/>
      <c r="H39" s="19"/>
      <c r="I39" s="19"/>
      <c r="J39" s="19"/>
    </row>
  </sheetData>
  <mergeCells count="12">
    <mergeCell ref="N6:R6"/>
    <mergeCell ref="N7:R7"/>
    <mergeCell ref="C2:D2"/>
    <mergeCell ref="C31:J35"/>
    <mergeCell ref="M2:O2"/>
    <mergeCell ref="C3:K8"/>
    <mergeCell ref="N3:R3"/>
    <mergeCell ref="N4:R4"/>
    <mergeCell ref="N5:R5"/>
    <mergeCell ref="F15:H15"/>
    <mergeCell ref="F16:H16"/>
    <mergeCell ref="C24:G26"/>
  </mergeCells>
  <pageMargins left="0.7" right="0.7" top="0.75" bottom="0.75" header="0.3" footer="0.3"/>
  <pageSetup paperSize="9"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O14"/>
  <sheetViews>
    <sheetView topLeftCell="A7" workbookViewId="0">
      <selection activeCell="C2" sqref="C2:G2"/>
    </sheetView>
  </sheetViews>
  <sheetFormatPr defaultColWidth="11.42578125" defaultRowHeight="15" x14ac:dyDescent="0.25"/>
  <cols>
    <col min="1" max="1" width="3.140625" style="1" customWidth="1"/>
    <col min="2" max="2" width="3.5703125" style="1" customWidth="1"/>
    <col min="3" max="3" width="13.5703125" style="1" customWidth="1"/>
    <col min="4" max="4" width="8.140625" style="1" customWidth="1"/>
    <col min="5" max="5" width="22.5703125" style="1" customWidth="1"/>
    <col min="6" max="6" width="17.85546875" style="1" customWidth="1"/>
    <col min="7" max="7" width="9.7109375" style="1" customWidth="1"/>
    <col min="8" max="8" width="10.140625" style="1" customWidth="1"/>
    <col min="9" max="9" width="6.140625" style="1" customWidth="1"/>
    <col min="10" max="10" width="11.28515625" style="1" customWidth="1"/>
    <col min="11" max="12" width="7.5703125" style="1" customWidth="1"/>
    <col min="13" max="13" width="13.85546875" style="1" customWidth="1"/>
    <col min="14" max="14" width="11.42578125" style="1"/>
    <col min="15" max="15" width="6.5703125" style="1" customWidth="1"/>
    <col min="16" max="16384" width="11.42578125" style="1"/>
  </cols>
  <sheetData>
    <row r="1" spans="2:15" ht="33.75" x14ac:dyDescent="0.5">
      <c r="B1" s="43" t="s">
        <v>4</v>
      </c>
      <c r="C1" s="43"/>
      <c r="D1" s="43"/>
      <c r="E1" s="43"/>
      <c r="F1" s="43"/>
      <c r="G1" s="51" t="s">
        <v>38</v>
      </c>
      <c r="H1" s="51"/>
      <c r="I1" s="51"/>
      <c r="J1" s="51"/>
      <c r="K1" s="51"/>
    </row>
    <row r="2" spans="2:15" ht="21" x14ac:dyDescent="0.35">
      <c r="C2" s="47" t="s">
        <v>19</v>
      </c>
      <c r="D2" s="47"/>
      <c r="E2" s="47"/>
      <c r="F2" s="47"/>
      <c r="G2" s="47"/>
      <c r="J2" s="47" t="s">
        <v>6</v>
      </c>
      <c r="K2" s="47"/>
      <c r="L2" s="47"/>
      <c r="M2" s="47"/>
    </row>
    <row r="3" spans="2:15" ht="29.25" customHeight="1" x14ac:dyDescent="0.25">
      <c r="C3" s="44" t="s">
        <v>24</v>
      </c>
      <c r="D3" s="44"/>
      <c r="E3" s="44"/>
      <c r="F3" s="44"/>
      <c r="G3" s="44"/>
      <c r="H3" s="44"/>
      <c r="J3" s="4" t="s">
        <v>20</v>
      </c>
      <c r="K3" s="44" t="s">
        <v>22</v>
      </c>
      <c r="L3" s="44"/>
      <c r="M3" s="44"/>
      <c r="N3" s="44"/>
      <c r="O3" s="44"/>
    </row>
    <row r="4" spans="2:15" x14ac:dyDescent="0.25">
      <c r="C4" s="44"/>
      <c r="D4" s="44"/>
      <c r="E4" s="44"/>
      <c r="F4" s="44"/>
      <c r="G4" s="44"/>
      <c r="H4" s="44"/>
      <c r="J4" s="5" t="s">
        <v>21</v>
      </c>
      <c r="K4" s="44" t="s">
        <v>23</v>
      </c>
      <c r="L4" s="44"/>
      <c r="M4" s="44"/>
      <c r="N4" s="44"/>
      <c r="O4" s="44"/>
    </row>
    <row r="5" spans="2:15" ht="16.5" customHeight="1" x14ac:dyDescent="0.25">
      <c r="C5" s="44"/>
      <c r="D5" s="44"/>
      <c r="E5" s="44"/>
      <c r="F5" s="44"/>
      <c r="G5" s="44"/>
      <c r="H5" s="44"/>
      <c r="J5" s="20"/>
      <c r="K5" s="48"/>
      <c r="L5" s="48"/>
      <c r="M5" s="48"/>
      <c r="N5" s="48"/>
    </row>
    <row r="7" spans="2:15" ht="21" x14ac:dyDescent="0.35">
      <c r="C7" s="17" t="s">
        <v>12</v>
      </c>
      <c r="D7" s="17"/>
      <c r="E7" s="7"/>
    </row>
    <row r="8" spans="2:15" ht="33.75" customHeight="1" x14ac:dyDescent="0.25">
      <c r="C8" s="50" t="s">
        <v>29</v>
      </c>
      <c r="D8" s="50"/>
      <c r="E8" s="50"/>
      <c r="F8" s="50"/>
      <c r="G8" s="50"/>
      <c r="H8" s="50"/>
    </row>
    <row r="9" spans="2:15" x14ac:dyDescent="0.25">
      <c r="C9" s="49" t="s">
        <v>27</v>
      </c>
      <c r="D9" s="49"/>
      <c r="E9" s="49"/>
      <c r="F9" s="49"/>
      <c r="G9" s="49"/>
    </row>
    <row r="10" spans="2:15" x14ac:dyDescent="0.25">
      <c r="C10" s="49" t="s">
        <v>28</v>
      </c>
      <c r="D10" s="49"/>
      <c r="E10" s="49"/>
      <c r="F10" s="49"/>
      <c r="G10" s="49"/>
    </row>
    <row r="11" spans="2:15" x14ac:dyDescent="0.25">
      <c r="C11" s="21"/>
      <c r="D11" s="21"/>
      <c r="E11" s="21"/>
      <c r="F11" s="21"/>
    </row>
    <row r="12" spans="2:15" x14ac:dyDescent="0.25">
      <c r="C12" s="5" t="s">
        <v>25</v>
      </c>
      <c r="D12" s="5" t="s">
        <v>5</v>
      </c>
      <c r="E12" s="5" t="s">
        <v>31</v>
      </c>
      <c r="F12" s="5" t="s">
        <v>30</v>
      </c>
      <c r="G12" s="5" t="s">
        <v>32</v>
      </c>
      <c r="H12" s="5" t="s">
        <v>33</v>
      </c>
    </row>
    <row r="13" spans="2:15" x14ac:dyDescent="0.25">
      <c r="C13" s="9" t="s">
        <v>15</v>
      </c>
      <c r="D13" s="9">
        <v>3</v>
      </c>
      <c r="E13" s="9" t="s">
        <v>34</v>
      </c>
      <c r="F13" s="9" t="s">
        <v>35</v>
      </c>
      <c r="G13" s="22">
        <f>EvaluarNumero(C13,3)</f>
        <v>15</v>
      </c>
      <c r="H13" s="22">
        <f>Evaluar(C13,D13)</f>
        <v>15</v>
      </c>
    </row>
    <row r="14" spans="2:15" x14ac:dyDescent="0.25">
      <c r="C14" s="9" t="s">
        <v>26</v>
      </c>
      <c r="D14" s="9">
        <v>2</v>
      </c>
      <c r="E14" s="9" t="s">
        <v>36</v>
      </c>
      <c r="F14" s="9" t="s">
        <v>35</v>
      </c>
      <c r="G14" s="22">
        <f>EvaluarNumero(C14,2)</f>
        <v>9.4142135623730958</v>
      </c>
      <c r="H14" s="22">
        <f>Evaluar(C14,D14)</f>
        <v>9.4142135623730958</v>
      </c>
    </row>
  </sheetData>
  <mergeCells count="11">
    <mergeCell ref="C9:G9"/>
    <mergeCell ref="C10:G10"/>
    <mergeCell ref="C8:H8"/>
    <mergeCell ref="C3:H5"/>
    <mergeCell ref="B1:F1"/>
    <mergeCell ref="G1:K1"/>
    <mergeCell ref="J2:M2"/>
    <mergeCell ref="K3:O3"/>
    <mergeCell ref="K4:O4"/>
    <mergeCell ref="K5:N5"/>
    <mergeCell ref="C2:G2"/>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14</vt:i4>
      </vt:variant>
    </vt:vector>
  </HeadingPairs>
  <TitlesOfParts>
    <vt:vector size="17" baseType="lpstr">
      <vt:lpstr>Bisección</vt:lpstr>
      <vt:lpstr>Algoritmo de Newton</vt:lpstr>
      <vt:lpstr>Evaluación de Funciones</vt:lpstr>
      <vt:lpstr>a0</vt:lpstr>
      <vt:lpstr>b0</vt:lpstr>
      <vt:lpstr>diff</vt:lpstr>
      <vt:lpstr>diff_2_n</vt:lpstr>
      <vt:lpstr>diff_n</vt:lpstr>
      <vt:lpstr>ec</vt:lpstr>
      <vt:lpstr>ec_g</vt:lpstr>
      <vt:lpstr>eps</vt:lpstr>
      <vt:lpstr>I_g</vt:lpstr>
      <vt:lpstr>l</vt:lpstr>
      <vt:lpstr>lambda</vt:lpstr>
      <vt:lpstr>ro</vt:lpstr>
      <vt:lpstr>ro_name</vt:lpstr>
      <vt:lpstr>ro_value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practica</dc:creator>
  <cp:lastModifiedBy>David de los Santos Boix</cp:lastModifiedBy>
  <dcterms:created xsi:type="dcterms:W3CDTF">2017-02-15T15:07:10Z</dcterms:created>
  <dcterms:modified xsi:type="dcterms:W3CDTF">2017-02-24T14:01:53Z</dcterms:modified>
</cp:coreProperties>
</file>