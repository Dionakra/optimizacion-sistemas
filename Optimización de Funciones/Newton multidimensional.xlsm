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dlsb\Desktop\"/>
    </mc:Choice>
  </mc:AlternateContent>
  <bookViews>
    <workbookView xWindow="0" yWindow="0" windowWidth="2370" windowHeight="0"/>
  </bookViews>
  <sheets>
    <sheet name="Newton Multidimensional" sheetId="3" r:id="rId1"/>
  </sheets>
  <functionGroups builtInGroupCount="18"/>
  <definedNames>
    <definedName name="a_0_g">'Newton Multidimensional'!#REF!</definedName>
    <definedName name="a0">#REF!</definedName>
    <definedName name="a0_g">'Newton Multidimensional'!#REF!</definedName>
    <definedName name="b_0_g">'Newton Multidimensional'!#REF!</definedName>
    <definedName name="b0">#REF!</definedName>
    <definedName name="diff">#REF!</definedName>
    <definedName name="diff_2_n">'Newton Multidimensional'!$D$12</definedName>
    <definedName name="diff_n">'Newton Multidimensional'!$D$10</definedName>
    <definedName name="ec">'Newton Multidimensional'!$D$9</definedName>
    <definedName name="ec_g">'Newton Multidimensional'!$D$9</definedName>
    <definedName name="eps">'Newton Multidimensional'!$D$8</definedName>
    <definedName name="grad">'Newton Multidimensional'!$D$10</definedName>
    <definedName name="grad_x">'Newton Multidimensional'!$D$10</definedName>
    <definedName name="grad_y">'Newton Multidimensional'!$D$11</definedName>
    <definedName name="I_g">'Newton Multidimensional'!$D$8</definedName>
    <definedName name="l">#REF!</definedName>
    <definedName name="lambda">'Newton Multidimensional'!#REF!</definedName>
    <definedName name="mh_11">'Newton Multidimensional'!$C$15</definedName>
    <definedName name="mh_12">'Newton Multidimensional'!$D$15</definedName>
    <definedName name="mh_21">'Newton Multidimensional'!$C$16</definedName>
    <definedName name="mh_22">'Newton Multidimensional'!$D$16</definedName>
    <definedName name="ro">'Newton Multidimensional'!#REF!</definedName>
    <definedName name="ro_name">'Newton Multidimensional'!#REF!</definedName>
    <definedName name="ro_value">'Newton Multidimensional'!#REF!</definedName>
    <definedName name="x">'Newton Multidimensional'!$D$12</definedName>
    <definedName name="y">'Newton Multidimensional'!$D$13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" i="3" l="1"/>
  <c r="J10" i="3" s="1"/>
  <c r="J12" i="3" s="1"/>
  <c r="J14" i="3" s="1"/>
  <c r="M6" i="3"/>
  <c r="L6" i="3"/>
  <c r="R15" i="3"/>
  <c r="Q15" i="3"/>
  <c r="R13" i="3"/>
  <c r="Q13" i="3"/>
  <c r="R11" i="3"/>
  <c r="Q11" i="3"/>
  <c r="R9" i="3"/>
  <c r="Q9" i="3"/>
  <c r="R7" i="3"/>
  <c r="Q7" i="3"/>
  <c r="Q6" i="3"/>
  <c r="P6" i="3"/>
  <c r="O6" i="3"/>
  <c r="N6" i="3"/>
  <c r="R6" i="3"/>
  <c r="K6" i="3" l="1"/>
  <c r="Y6" i="3"/>
  <c r="S6" i="3" a="1"/>
  <c r="S6" i="3" s="1"/>
  <c r="T6" i="3" l="1"/>
  <c r="T7" i="3"/>
  <c r="S7" i="3"/>
  <c r="U6" i="3" l="1" a="1"/>
  <c r="V6" i="3" s="1"/>
  <c r="X6" i="3" s="1"/>
  <c r="M8" i="3" s="1"/>
  <c r="U6" i="3" l="1"/>
  <c r="W6" i="3" s="1"/>
  <c r="L8" i="3" s="1"/>
  <c r="Q8" i="3"/>
  <c r="P8" i="3"/>
  <c r="O8" i="3"/>
  <c r="N8" i="3"/>
  <c r="R8" i="3"/>
  <c r="K8" i="3" l="1"/>
  <c r="Y8" i="3"/>
  <c r="S8" i="3" a="1"/>
  <c r="T8" i="3" s="1"/>
  <c r="S8" i="3" l="1"/>
  <c r="U8" i="3" s="1" a="1"/>
  <c r="U8" i="3" s="1"/>
  <c r="W8" i="3" s="1"/>
  <c r="L10" i="3" s="1"/>
  <c r="S9" i="3"/>
  <c r="T9" i="3"/>
  <c r="V8" i="3" l="1"/>
  <c r="X8" i="3" s="1"/>
  <c r="M10" i="3" s="1"/>
  <c r="N10" i="3"/>
  <c r="Q10" i="3"/>
  <c r="P10" i="3"/>
  <c r="O10" i="3"/>
  <c r="R10" i="3"/>
  <c r="Y10" i="3" l="1"/>
  <c r="S10" i="3" a="1"/>
  <c r="S11" i="3" s="1"/>
  <c r="K10" i="3"/>
  <c r="T11" i="3" l="1"/>
  <c r="S10" i="3"/>
  <c r="T10" i="3"/>
  <c r="U10" i="3" l="1" a="1"/>
  <c r="U10" i="3" l="1"/>
  <c r="W10" i="3" s="1"/>
  <c r="L12" i="3" s="1"/>
  <c r="V10" i="3"/>
  <c r="X10" i="3" s="1"/>
  <c r="M12" i="3" s="1"/>
  <c r="N12" i="3"/>
  <c r="Q12" i="3"/>
  <c r="P12" i="3"/>
  <c r="O12" i="3"/>
  <c r="R12" i="3"/>
  <c r="Y12" i="3" l="1"/>
  <c r="S12" i="3" a="1"/>
  <c r="K12" i="3"/>
  <c r="S13" i="3" l="1"/>
  <c r="S12" i="3"/>
  <c r="T12" i="3"/>
  <c r="T13" i="3"/>
  <c r="U12" i="3" l="1" a="1"/>
  <c r="U12" i="3" l="1"/>
  <c r="W12" i="3" s="1"/>
  <c r="L14" i="3" s="1"/>
  <c r="V12" i="3"/>
  <c r="X12" i="3" s="1"/>
  <c r="M14" i="3" s="1"/>
  <c r="N14" i="3"/>
  <c r="Q14" i="3"/>
  <c r="P14" i="3"/>
  <c r="O14" i="3"/>
  <c r="R14" i="3"/>
  <c r="Y14" i="3" l="1"/>
  <c r="S14" i="3" a="1"/>
  <c r="K14" i="3"/>
  <c r="D18" i="3" l="1"/>
  <c r="C18" i="3"/>
  <c r="T14" i="3"/>
  <c r="S14" i="3"/>
  <c r="T15" i="3"/>
  <c r="S15" i="3"/>
  <c r="U14" i="3" l="1" a="1"/>
  <c r="V14" i="3" l="1"/>
  <c r="X14" i="3" s="1"/>
  <c r="U14" i="3"/>
  <c r="W14" i="3" s="1"/>
</calcChain>
</file>

<file path=xl/sharedStrings.xml><?xml version="1.0" encoding="utf-8"?>
<sst xmlns="http://schemas.openxmlformats.org/spreadsheetml/2006/main" count="56" uniqueCount="50">
  <si>
    <t>Optimización de Funciones</t>
  </si>
  <si>
    <t>Valor</t>
  </si>
  <si>
    <t>Semántica de Parámetros</t>
  </si>
  <si>
    <t>Ejemplo Práctico</t>
  </si>
  <si>
    <t>Parámetro</t>
  </si>
  <si>
    <t>Ecuación</t>
  </si>
  <si>
    <t>Expresión analítica de X a la que obterner el mínimo</t>
  </si>
  <si>
    <t>David de los Santos Boix</t>
  </si>
  <si>
    <t>Calculamos el mínimo de la función descrita en el apartado de ecuación.</t>
  </si>
  <si>
    <t>ε</t>
  </si>
  <si>
    <t>Valor de incertidumbre aceptada</t>
  </si>
  <si>
    <t>ε (epsilom)</t>
  </si>
  <si>
    <t>Valor de confianza</t>
  </si>
  <si>
    <t>Ecuación a analizar</t>
  </si>
  <si>
    <t>Algoritmo de Newton Multidimensional</t>
  </si>
  <si>
    <t>Punto X Inicial</t>
  </si>
  <si>
    <t>Punto Y Inicial</t>
  </si>
  <si>
    <t>(x-2)^4 + (x -2*y)^2</t>
  </si>
  <si>
    <t>Punto inicial en X</t>
  </si>
  <si>
    <t>Punto inicial en Y</t>
  </si>
  <si>
    <t>Punto X inicial</t>
  </si>
  <si>
    <t>Punto a empezar a buscar en la dimensión X</t>
  </si>
  <si>
    <t>Punto a empezar a buscar en la dimensión Y</t>
  </si>
  <si>
    <t>k</t>
  </si>
  <si>
    <t>f(x)</t>
  </si>
  <si>
    <t>Grad(f(x))</t>
  </si>
  <si>
    <t>H</t>
  </si>
  <si>
    <t>H-1</t>
  </si>
  <si>
    <t>"-H*GRAD"</t>
  </si>
  <si>
    <t>Xk+1</t>
  </si>
  <si>
    <t>Fin</t>
  </si>
  <si>
    <t>Módulo</t>
  </si>
  <si>
    <t>Matriz Hessiana</t>
  </si>
  <si>
    <t>12*(x-2)^2 + 2</t>
  </si>
  <si>
    <t>Gradiente (X)</t>
  </si>
  <si>
    <t>Gradiente (Y)</t>
  </si>
  <si>
    <t>2* (2* (x - 2)^3 + x - 2*y)</t>
  </si>
  <si>
    <t>8*y - 4*x</t>
  </si>
  <si>
    <t>X_k</t>
  </si>
  <si>
    <t>Gradiente de la función en Y</t>
  </si>
  <si>
    <t>Gradiente de la función en X</t>
  </si>
  <si>
    <t>Solución</t>
  </si>
  <si>
    <t>Punto de la solución</t>
  </si>
  <si>
    <t>x</t>
  </si>
  <si>
    <t>y</t>
  </si>
  <si>
    <t>Expresión analítica del gradiente respecto de X</t>
  </si>
  <si>
    <t>Expresión analítica del gradiente respecto de Y</t>
  </si>
  <si>
    <t>Matriz Hessiana de la ecuación</t>
  </si>
  <si>
    <t>Modo de Empleo</t>
  </si>
  <si>
    <t>Modificar los parámetros necesarios e ir copiando desde la fila 2, los valores se irán completando automáticamente hasta que de el sí, cuyo valor se reflejará en la tabla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</si>
</sst>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72" formatCode="0.0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74">
    <xf numFmtId="0" fontId="0" fillId="0" borderId="0" xfId="0"/>
    <xf numFmtId="0" fontId="0" fillId="2" borderId="0" xfId="0" applyFill="1"/>
    <xf numFmtId="0" fontId="0" fillId="2" borderId="0" xfId="0" applyFont="1" applyFill="1"/>
    <xf numFmtId="0" fontId="0" fillId="4" borderId="0" xfId="0" applyFill="1"/>
    <xf numFmtId="0" fontId="1" fillId="4" borderId="0" xfId="0" applyFont="1" applyFill="1" applyAlignment="1">
      <alignment vertical="top"/>
    </xf>
    <xf numFmtId="0" fontId="1" fillId="4" borderId="0" xfId="0" applyFont="1" applyFill="1"/>
    <xf numFmtId="0" fontId="4" fillId="2" borderId="1" xfId="0" applyFont="1" applyFill="1" applyBorder="1"/>
    <xf numFmtId="0" fontId="0" fillId="2" borderId="1" xfId="0" applyFill="1" applyBorder="1"/>
    <xf numFmtId="0" fontId="0" fillId="4" borderId="0" xfId="0" applyFont="1" applyFill="1" applyAlignment="1">
      <alignment horizontal="left"/>
    </xf>
    <xf numFmtId="0" fontId="2" fillId="3" borderId="0" xfId="0" applyFont="1" applyFill="1" applyAlignment="1">
      <alignment horizontal="left"/>
    </xf>
    <xf numFmtId="0" fontId="0" fillId="2" borderId="0" xfId="0" applyFill="1" applyAlignment="1">
      <alignment vertical="top" wrapText="1"/>
    </xf>
    <xf numFmtId="0" fontId="0" fillId="2" borderId="0" xfId="0" applyFill="1" applyAlignment="1">
      <alignment horizontal="left"/>
    </xf>
    <xf numFmtId="0" fontId="2" fillId="3" borderId="0" xfId="0" applyFont="1" applyFill="1" applyAlignment="1"/>
    <xf numFmtId="0" fontId="2" fillId="2" borderId="0" xfId="0" applyFont="1" applyFill="1" applyAlignment="1"/>
    <xf numFmtId="0" fontId="0" fillId="4" borderId="0" xfId="0" applyFill="1" applyAlignment="1">
      <alignment horizontal="left" vertical="top"/>
    </xf>
    <xf numFmtId="0" fontId="0" fillId="2" borderId="0" xfId="0" applyFont="1" applyFill="1" applyAlignment="1">
      <alignment horizontal="left"/>
    </xf>
    <xf numFmtId="164" fontId="0" fillId="2" borderId="1" xfId="0" applyNumberFormat="1" applyFill="1" applyBorder="1" applyAlignment="1">
      <alignment horizontal="center"/>
    </xf>
    <xf numFmtId="0" fontId="3" fillId="5" borderId="0" xfId="0" applyFont="1" applyFill="1" applyAlignment="1"/>
    <xf numFmtId="164" fontId="0" fillId="6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right"/>
    </xf>
    <xf numFmtId="0" fontId="0" fillId="4" borderId="0" xfId="0" applyFill="1" applyAlignment="1">
      <alignment horizontal="left" vertical="top" wrapText="1"/>
    </xf>
    <xf numFmtId="0" fontId="0" fillId="2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2" fillId="3" borderId="0" xfId="0" applyFont="1" applyFill="1" applyAlignment="1">
      <alignment horizontal="left"/>
    </xf>
    <xf numFmtId="0" fontId="0" fillId="2" borderId="0" xfId="0" applyFill="1" applyAlignment="1">
      <alignment horizontal="left" vertical="top" wrapText="1"/>
    </xf>
    <xf numFmtId="0" fontId="2" fillId="2" borderId="0" xfId="0" applyFont="1" applyFill="1" applyAlignment="1">
      <alignment horizontal="left"/>
    </xf>
    <xf numFmtId="0" fontId="0" fillId="4" borderId="0" xfId="0" applyFill="1" applyAlignment="1">
      <alignment horizontal="left" vertical="top" wrapText="1"/>
    </xf>
    <xf numFmtId="0" fontId="0" fillId="2" borderId="0" xfId="0" applyFill="1" applyAlignment="1">
      <alignment horizontal="left"/>
    </xf>
    <xf numFmtId="0" fontId="2" fillId="3" borderId="0" xfId="0" applyFont="1" applyFill="1" applyAlignment="1">
      <alignment horizontal="left"/>
    </xf>
    <xf numFmtId="0" fontId="0" fillId="3" borderId="0" xfId="0" applyFill="1"/>
    <xf numFmtId="0" fontId="0" fillId="2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 vertical="top" wrapText="1"/>
    </xf>
    <xf numFmtId="0" fontId="0" fillId="2" borderId="6" xfId="0" applyFill="1" applyBorder="1" applyAlignment="1">
      <alignment horizontal="center" vertical="top" wrapText="1"/>
    </xf>
    <xf numFmtId="172" fontId="0" fillId="2" borderId="5" xfId="0" applyNumberFormat="1" applyFill="1" applyBorder="1" applyAlignment="1">
      <alignment horizontal="center"/>
    </xf>
    <xf numFmtId="172" fontId="0" fillId="2" borderId="6" xfId="0" applyNumberFormat="1" applyFill="1" applyBorder="1" applyAlignment="1">
      <alignment horizontal="center"/>
    </xf>
    <xf numFmtId="172" fontId="0" fillId="2" borderId="7" xfId="0" applyNumberFormat="1" applyFill="1" applyBorder="1" applyAlignment="1">
      <alignment horizontal="center"/>
    </xf>
    <xf numFmtId="172" fontId="0" fillId="2" borderId="8" xfId="0" applyNumberForma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164" fontId="0" fillId="2" borderId="0" xfId="0" applyNumberFormat="1" applyFill="1" applyBorder="1"/>
    <xf numFmtId="164" fontId="0" fillId="2" borderId="9" xfId="0" applyNumberFormat="1" applyFill="1" applyBorder="1" applyAlignment="1">
      <alignment horizontal="center"/>
    </xf>
    <xf numFmtId="164" fontId="0" fillId="2" borderId="4" xfId="0" applyNumberForma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164" fontId="0" fillId="2" borderId="3" xfId="0" applyNumberFormat="1" applyFill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164" fontId="0" fillId="2" borderId="10" xfId="0" applyNumberFormat="1" applyFill="1" applyBorder="1" applyAlignment="1">
      <alignment horizontal="center"/>
    </xf>
    <xf numFmtId="164" fontId="0" fillId="2" borderId="7" xfId="0" applyNumberFormat="1" applyFill="1" applyBorder="1" applyAlignment="1">
      <alignment horizontal="center"/>
    </xf>
    <xf numFmtId="164" fontId="0" fillId="2" borderId="2" xfId="0" applyNumberFormat="1" applyFill="1" applyBorder="1" applyAlignment="1">
      <alignment horizontal="center"/>
    </xf>
    <xf numFmtId="164" fontId="0" fillId="2" borderId="0" xfId="0" applyNumberFormat="1" applyFill="1"/>
    <xf numFmtId="0" fontId="0" fillId="2" borderId="0" xfId="0" applyFill="1" applyAlignment="1">
      <alignment horizontal="center" vertical="top" wrapText="1"/>
    </xf>
    <xf numFmtId="0" fontId="5" fillId="2" borderId="5" xfId="0" applyFont="1" applyFill="1" applyBorder="1" applyAlignment="1">
      <alignment horizontal="center" vertical="top" wrapText="1"/>
    </xf>
    <xf numFmtId="0" fontId="5" fillId="2" borderId="6" xfId="0" applyFont="1" applyFill="1" applyBorder="1" applyAlignment="1">
      <alignment horizontal="center" vertical="top" wrapText="1"/>
    </xf>
    <xf numFmtId="0" fontId="0" fillId="2" borderId="0" xfId="0" applyFill="1" applyAlignment="1">
      <alignment horizontal="left" vertical="top"/>
    </xf>
    <xf numFmtId="0" fontId="0" fillId="2" borderId="11" xfId="0" applyFill="1" applyBorder="1" applyAlignment="1">
      <alignment horizontal="center" vertical="top" wrapText="1"/>
    </xf>
    <xf numFmtId="0" fontId="0" fillId="2" borderId="12" xfId="0" applyFill="1" applyBorder="1" applyAlignment="1">
      <alignment horizontal="center" vertical="top" wrapText="1"/>
    </xf>
    <xf numFmtId="164" fontId="5" fillId="2" borderId="7" xfId="0" applyNumberFormat="1" applyFont="1" applyFill="1" applyBorder="1" applyAlignment="1">
      <alignment horizontal="center" vertical="top" wrapText="1"/>
    </xf>
    <xf numFmtId="164" fontId="5" fillId="2" borderId="8" xfId="0" applyNumberFormat="1" applyFont="1" applyFill="1" applyBorder="1" applyAlignment="1">
      <alignment horizontal="center" vertical="top" wrapText="1"/>
    </xf>
    <xf numFmtId="0" fontId="5" fillId="2" borderId="0" xfId="0" applyFont="1" applyFill="1" applyAlignment="1">
      <alignment horizontal="center" vertical="top" wrapText="1"/>
    </xf>
    <xf numFmtId="0" fontId="0" fillId="6" borderId="1" xfId="0" applyFill="1" applyBorder="1" applyAlignment="1">
      <alignment horizontal="center"/>
    </xf>
    <xf numFmtId="164" fontId="0" fillId="6" borderId="3" xfId="0" applyNumberFormat="1" applyFill="1" applyBorder="1" applyAlignment="1">
      <alignment horizontal="center"/>
    </xf>
    <xf numFmtId="164" fontId="0" fillId="6" borderId="9" xfId="0" applyNumberFormat="1" applyFill="1" applyBorder="1" applyAlignment="1">
      <alignment horizontal="center"/>
    </xf>
    <xf numFmtId="164" fontId="0" fillId="6" borderId="5" xfId="0" applyNumberFormat="1" applyFill="1" applyBorder="1" applyAlignment="1">
      <alignment horizontal="center"/>
    </xf>
    <xf numFmtId="164" fontId="0" fillId="6" borderId="10" xfId="0" applyNumberFormat="1" applyFill="1" applyBorder="1" applyAlignment="1">
      <alignment horizontal="center"/>
    </xf>
    <xf numFmtId="172" fontId="0" fillId="6" borderId="5" xfId="0" applyNumberFormat="1" applyFill="1" applyBorder="1" applyAlignment="1">
      <alignment horizontal="center"/>
    </xf>
    <xf numFmtId="172" fontId="0" fillId="6" borderId="6" xfId="0" applyNumberFormat="1" applyFill="1" applyBorder="1" applyAlignment="1">
      <alignment horizontal="center"/>
    </xf>
    <xf numFmtId="164" fontId="0" fillId="6" borderId="4" xfId="0" applyNumberFormat="1" applyFill="1" applyBorder="1" applyAlignment="1">
      <alignment horizontal="center"/>
    </xf>
    <xf numFmtId="164" fontId="0" fillId="6" borderId="7" xfId="0" applyNumberFormat="1" applyFill="1" applyBorder="1" applyAlignment="1">
      <alignment horizontal="center"/>
    </xf>
    <xf numFmtId="164" fontId="0" fillId="6" borderId="2" xfId="0" applyNumberFormat="1" applyFill="1" applyBorder="1" applyAlignment="1">
      <alignment horizontal="center"/>
    </xf>
    <xf numFmtId="172" fontId="0" fillId="6" borderId="7" xfId="0" applyNumberFormat="1" applyFill="1" applyBorder="1" applyAlignment="1">
      <alignment horizontal="center"/>
    </xf>
    <xf numFmtId="172" fontId="0" fillId="6" borderId="8" xfId="0" applyNumberForma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Y38"/>
  <sheetViews>
    <sheetView tabSelected="1" workbookViewId="0">
      <selection activeCell="C37" sqref="C37"/>
    </sheetView>
  </sheetViews>
  <sheetFormatPr defaultColWidth="11.42578125" defaultRowHeight="15" x14ac:dyDescent="0.25"/>
  <cols>
    <col min="1" max="1" width="3.140625" style="1" customWidth="1"/>
    <col min="2" max="2" width="3.5703125" style="1" customWidth="1"/>
    <col min="3" max="3" width="15.85546875" style="1" customWidth="1"/>
    <col min="4" max="4" width="21.28515625" style="1" customWidth="1"/>
    <col min="5" max="5" width="6.42578125" style="1" customWidth="1"/>
    <col min="6" max="6" width="8.5703125" style="1" customWidth="1"/>
    <col min="7" max="7" width="10.140625" style="1" customWidth="1"/>
    <col min="8" max="8" width="5.85546875" style="1" customWidth="1"/>
    <col min="9" max="9" width="7.140625" style="1" customWidth="1"/>
    <col min="10" max="10" width="2.5703125" style="1" customWidth="1"/>
    <col min="11" max="11" width="4.42578125" style="1" customWidth="1"/>
    <col min="12" max="13" width="8.5703125" style="1" customWidth="1"/>
    <col min="14" max="14" width="9.140625" style="1" customWidth="1"/>
    <col min="15" max="16" width="10.42578125" style="1" customWidth="1"/>
    <col min="17" max="18" width="8" style="1" customWidth="1"/>
    <col min="19" max="20" width="8.28515625" style="1" customWidth="1"/>
    <col min="21" max="22" width="8.140625" style="1" customWidth="1"/>
    <col min="23" max="24" width="7" style="1" customWidth="1"/>
    <col min="25" max="25" width="8.7109375" style="1" customWidth="1"/>
    <col min="26" max="16384" width="11.42578125" style="1"/>
  </cols>
  <sheetData>
    <row r="1" spans="2:25" ht="33.75" x14ac:dyDescent="0.5">
      <c r="B1" s="17" t="s">
        <v>0</v>
      </c>
      <c r="C1" s="17"/>
      <c r="D1" s="17"/>
      <c r="E1" s="17"/>
      <c r="F1" s="17"/>
      <c r="G1" s="13" t="s">
        <v>7</v>
      </c>
      <c r="I1" s="13"/>
      <c r="J1" s="13"/>
    </row>
    <row r="2" spans="2:25" ht="21" x14ac:dyDescent="0.35">
      <c r="C2" s="23" t="s">
        <v>14</v>
      </c>
      <c r="D2" s="23"/>
      <c r="E2" s="12"/>
      <c r="F2" s="29"/>
    </row>
    <row r="4" spans="2:25" ht="21" x14ac:dyDescent="0.35">
      <c r="C4" s="9" t="s">
        <v>3</v>
      </c>
      <c r="D4" s="9"/>
      <c r="E4" s="11"/>
    </row>
    <row r="5" spans="2:25" x14ac:dyDescent="0.25">
      <c r="C5" s="8" t="s">
        <v>8</v>
      </c>
      <c r="D5" s="8"/>
      <c r="E5" s="8"/>
      <c r="F5" s="8"/>
      <c r="G5" s="8"/>
      <c r="H5" s="8"/>
      <c r="I5" s="15"/>
      <c r="J5" s="46" t="s">
        <v>23</v>
      </c>
      <c r="K5" s="46" t="s">
        <v>30</v>
      </c>
      <c r="L5" s="31" t="s">
        <v>38</v>
      </c>
      <c r="M5" s="31"/>
      <c r="N5" s="46" t="s">
        <v>24</v>
      </c>
      <c r="O5" s="31" t="s">
        <v>25</v>
      </c>
      <c r="P5" s="31"/>
      <c r="Q5" s="31" t="s">
        <v>26</v>
      </c>
      <c r="R5" s="31"/>
      <c r="S5" s="31" t="s">
        <v>27</v>
      </c>
      <c r="T5" s="31"/>
      <c r="U5" s="31" t="s">
        <v>28</v>
      </c>
      <c r="V5" s="31"/>
      <c r="W5" s="31" t="s">
        <v>29</v>
      </c>
      <c r="X5" s="31"/>
      <c r="Y5" s="46" t="s">
        <v>31</v>
      </c>
    </row>
    <row r="6" spans="2:25" x14ac:dyDescent="0.25">
      <c r="C6" s="2"/>
      <c r="J6" s="32">
        <v>1</v>
      </c>
      <c r="K6" s="32" t="str">
        <f>IF(N6&lt;eps,"SI","NO")</f>
        <v>NO</v>
      </c>
      <c r="L6" s="41">
        <f>x</f>
        <v>0</v>
      </c>
      <c r="M6" s="45">
        <f>y</f>
        <v>3</v>
      </c>
      <c r="N6" s="16">
        <f>EvaluarDoble(ec,L6,M6)</f>
        <v>52</v>
      </c>
      <c r="O6" s="47">
        <f>EvaluarDoble(grad_x,L6,M6)</f>
        <v>-44</v>
      </c>
      <c r="P6" s="43">
        <f>EvaluarDoble(grad_y,L6,M6)</f>
        <v>24</v>
      </c>
      <c r="Q6" s="48">
        <f>EvaluarDoble(mh_11,L6,M6)</f>
        <v>50</v>
      </c>
      <c r="R6" s="49">
        <f>EvaluarDoble(mh_12,M6,N6)</f>
        <v>-4</v>
      </c>
      <c r="S6" s="37">
        <f t="array" ref="S6:T7">MINVERSE(Q6:R7)</f>
        <v>2.0833333333333336E-2</v>
      </c>
      <c r="T6" s="38">
        <v>1.0416666666666668E-2</v>
      </c>
      <c r="U6" s="43">
        <f t="array" ref="U6:V6">MMULT(-(O6:P6),S6:T7)</f>
        <v>0.66666666666666674</v>
      </c>
      <c r="V6" s="44">
        <v>-2.6666666666666665</v>
      </c>
      <c r="W6" s="43">
        <f>L6+U6</f>
        <v>0.66666666666666674</v>
      </c>
      <c r="X6" s="43">
        <f>M6+V6</f>
        <v>0.33333333333333348</v>
      </c>
      <c r="Y6" s="16">
        <f>SQRT(O6^2+P6^2)</f>
        <v>50.119856344566671</v>
      </c>
    </row>
    <row r="7" spans="2:25" x14ac:dyDescent="0.25">
      <c r="C7" s="5" t="s">
        <v>4</v>
      </c>
      <c r="D7" s="5" t="s">
        <v>1</v>
      </c>
      <c r="N7" s="52"/>
      <c r="O7" s="52"/>
      <c r="P7" s="52"/>
      <c r="Q7" s="50">
        <f>EvaluarDoble(mh_21,L7,M7)</f>
        <v>-4</v>
      </c>
      <c r="R7" s="51">
        <f>EvaluarDoble(mh_22,M7,N7)</f>
        <v>8</v>
      </c>
      <c r="S7" s="39">
        <v>1.0416666666666668E-2</v>
      </c>
      <c r="T7" s="40">
        <v>0.13020833333333334</v>
      </c>
      <c r="U7" s="42"/>
      <c r="V7" s="42"/>
      <c r="W7" s="30"/>
      <c r="X7" s="30"/>
      <c r="Y7" s="52"/>
    </row>
    <row r="8" spans="2:25" x14ac:dyDescent="0.25">
      <c r="C8" s="6" t="s">
        <v>9</v>
      </c>
      <c r="D8" s="7">
        <v>0.1</v>
      </c>
      <c r="J8" s="32">
        <f>J6+1</f>
        <v>2</v>
      </c>
      <c r="K8" s="32" t="str">
        <f>IF(N8&lt;eps,"SI","NO")</f>
        <v>NO</v>
      </c>
      <c r="L8" s="47">
        <f>W6</f>
        <v>0.66666666666666674</v>
      </c>
      <c r="M8" s="47">
        <f>X6</f>
        <v>0.33333333333333348</v>
      </c>
      <c r="N8" s="16">
        <f>EvaluarDoble(ec,L8,M8)</f>
        <v>3.160493827160491</v>
      </c>
      <c r="O8" s="47">
        <f>EvaluarDoble(grad_x,L8,M8)</f>
        <v>-9.4814814814814738</v>
      </c>
      <c r="P8" s="43">
        <f>EvaluarDoble(grad_y,L8,M8)</f>
        <v>-3.9968028886505635E-15</v>
      </c>
      <c r="Q8" s="48">
        <f>EvaluarDoble(mh_11,L8,M8)</f>
        <v>23.333333333333325</v>
      </c>
      <c r="R8" s="49">
        <f>EvaluarDoble(mh_12,M8,N8)</f>
        <v>-4</v>
      </c>
      <c r="S8" s="37">
        <f t="array" ref="S8:T9">MINVERSE(Q8:R9)</f>
        <v>4.6875000000000014E-2</v>
      </c>
      <c r="T8" s="38">
        <v>2.3437500000000007E-2</v>
      </c>
      <c r="U8" s="43">
        <f t="array" ref="U8:V8">MMULT(-(O8:P8),S8:T9)</f>
        <v>0.44444444444444431</v>
      </c>
      <c r="V8" s="44">
        <v>0.22222222222222265</v>
      </c>
      <c r="W8" s="43">
        <f>L8+U8</f>
        <v>1.1111111111111112</v>
      </c>
      <c r="X8" s="43">
        <f>M8+V8</f>
        <v>0.55555555555555614</v>
      </c>
      <c r="Y8" s="16">
        <f>SQRT(O8^2+P8^2)</f>
        <v>9.4814814814814738</v>
      </c>
    </row>
    <row r="9" spans="2:25" x14ac:dyDescent="0.25">
      <c r="C9" s="7" t="s">
        <v>5</v>
      </c>
      <c r="D9" s="19" t="s">
        <v>17</v>
      </c>
      <c r="F9" s="27" t="s">
        <v>12</v>
      </c>
      <c r="G9" s="27"/>
      <c r="H9" s="27"/>
      <c r="N9" s="52"/>
      <c r="Q9" s="50">
        <f>EvaluarDoble(mh_21,L9,M9)</f>
        <v>-4</v>
      </c>
      <c r="R9" s="51">
        <f>EvaluarDoble(mh_22,M9,N9)</f>
        <v>8</v>
      </c>
      <c r="S9" s="39">
        <v>2.3437500000000007E-2</v>
      </c>
      <c r="T9" s="40">
        <v>0.13671875</v>
      </c>
      <c r="U9" s="42"/>
      <c r="V9" s="42"/>
      <c r="W9" s="30"/>
      <c r="X9" s="30"/>
    </row>
    <row r="10" spans="2:25" x14ac:dyDescent="0.25">
      <c r="C10" s="7" t="s">
        <v>34</v>
      </c>
      <c r="D10" s="19" t="s">
        <v>36</v>
      </c>
      <c r="F10" s="1" t="s">
        <v>13</v>
      </c>
      <c r="J10" s="32">
        <f>J8+1</f>
        <v>3</v>
      </c>
      <c r="K10" s="32" t="str">
        <f>IF(N10&lt;eps,"SI","NO")</f>
        <v>NO</v>
      </c>
      <c r="L10" s="47">
        <f>W8</f>
        <v>1.1111111111111112</v>
      </c>
      <c r="M10" s="47">
        <f>X8</f>
        <v>0.55555555555555614</v>
      </c>
      <c r="N10" s="16">
        <f>EvaluarDoble(ec,L10,M10)</f>
        <v>0.62429507696997699</v>
      </c>
      <c r="O10" s="47">
        <f>EvaluarDoble(grad_x,L10,M10)</f>
        <v>-2.8093278463648974</v>
      </c>
      <c r="P10" s="43">
        <f>EvaluarDoble(grad_y,L10,M10)</f>
        <v>7.9936057773011271E-15</v>
      </c>
      <c r="Q10" s="48">
        <f>EvaluarDoble(mh_11,L10,M10)</f>
        <v>11.481481481481504</v>
      </c>
      <c r="R10" s="49">
        <f>EvaluarDoble(mh_12,M10,N10)</f>
        <v>-4</v>
      </c>
      <c r="S10" s="37">
        <f t="array" ref="S10:T11">MINVERSE(Q10:R11)</f>
        <v>0.10546874999999975</v>
      </c>
      <c r="T10" s="38">
        <v>5.2734374999999875E-2</v>
      </c>
      <c r="U10" s="43">
        <f t="array" ref="U10:V10">MMULT(-(O10:P10),S10:T11)</f>
        <v>0.29629629629629661</v>
      </c>
      <c r="V10" s="44">
        <v>0.14814814814814731</v>
      </c>
      <c r="W10" s="43">
        <f>L10+U10</f>
        <v>1.4074074074074079</v>
      </c>
      <c r="X10" s="43">
        <f>M10+V10</f>
        <v>0.7037037037037035</v>
      </c>
      <c r="Y10" s="16">
        <f>SQRT(O10^2+P10^2)</f>
        <v>2.8093278463648974</v>
      </c>
    </row>
    <row r="11" spans="2:25" x14ac:dyDescent="0.25">
      <c r="C11" s="7" t="s">
        <v>35</v>
      </c>
      <c r="D11" s="19" t="s">
        <v>37</v>
      </c>
      <c r="F11" s="1" t="s">
        <v>40</v>
      </c>
      <c r="N11" s="52"/>
      <c r="Q11" s="50">
        <f>EvaluarDoble(mh_21,L11,M11)</f>
        <v>-4</v>
      </c>
      <c r="R11" s="51">
        <f>EvaluarDoble(mh_22,M11,N11)</f>
        <v>8</v>
      </c>
      <c r="S11" s="39">
        <v>5.2734374999999875E-2</v>
      </c>
      <c r="T11" s="40">
        <v>0.15136718749999994</v>
      </c>
      <c r="U11" s="42"/>
      <c r="V11" s="42"/>
      <c r="W11" s="30"/>
      <c r="X11" s="30"/>
    </row>
    <row r="12" spans="2:25" x14ac:dyDescent="0.25">
      <c r="C12" s="7" t="s">
        <v>15</v>
      </c>
      <c r="D12" s="19">
        <v>0</v>
      </c>
      <c r="F12" s="1" t="s">
        <v>39</v>
      </c>
      <c r="J12" s="32">
        <f>J10+1</f>
        <v>4</v>
      </c>
      <c r="K12" s="32" t="str">
        <f>IF(N12&lt;eps,"SI","NO")</f>
        <v>NO</v>
      </c>
      <c r="L12" s="47">
        <f>W10</f>
        <v>1.4074074074074079</v>
      </c>
      <c r="M12" s="47">
        <f>X10</f>
        <v>0.7037037037037035</v>
      </c>
      <c r="N12" s="16">
        <f>EvaluarDoble(ec,L12,M12)</f>
        <v>0.12331754606814078</v>
      </c>
      <c r="O12" s="47">
        <f>EvaluarDoble(grad_x,L12,M12)</f>
        <v>-0.83239343595994608</v>
      </c>
      <c r="P12" s="43">
        <f>EvaluarDoble(grad_y,L12,M12)</f>
        <v>-1.5987211554602254E-14</v>
      </c>
      <c r="Q12" s="48">
        <f>EvaluarDoble(mh_11,L12,M12)</f>
        <v>6.2139917695472864</v>
      </c>
      <c r="R12" s="49">
        <f>EvaluarDoble(mh_12,M12,N12)</f>
        <v>-4</v>
      </c>
      <c r="S12" s="37">
        <f t="array" ref="S12:T13">MINVERSE(Q12:R13)</f>
        <v>0.23730468750000219</v>
      </c>
      <c r="T12" s="38">
        <v>0.1186523437500011</v>
      </c>
      <c r="U12" s="43">
        <f t="array" ref="U12:V12">MMULT(-(O12:P12),S12:T13)</f>
        <v>0.19753086419752999</v>
      </c>
      <c r="V12" s="44">
        <v>9.8765432098766995E-2</v>
      </c>
      <c r="W12" s="43">
        <f>L12+U12</f>
        <v>1.6049382716049378</v>
      </c>
      <c r="X12" s="43">
        <f>M12+V12</f>
        <v>0.80246913580247048</v>
      </c>
      <c r="Y12" s="16">
        <f>SQRT(O12^2+P12^2)</f>
        <v>0.83239343595994608</v>
      </c>
    </row>
    <row r="13" spans="2:25" x14ac:dyDescent="0.25">
      <c r="C13" s="7" t="s">
        <v>16</v>
      </c>
      <c r="D13" s="19">
        <v>3</v>
      </c>
      <c r="F13" s="1" t="s">
        <v>18</v>
      </c>
      <c r="N13" s="52"/>
      <c r="Q13" s="50">
        <f>EvaluarDoble(mh_21,L13,M13)</f>
        <v>-4</v>
      </c>
      <c r="R13" s="51">
        <f>EvaluarDoble(mh_22,M13,N13)</f>
        <v>8</v>
      </c>
      <c r="S13" s="39">
        <v>0.11865234375000108</v>
      </c>
      <c r="T13" s="40">
        <v>0.18432617187500056</v>
      </c>
      <c r="U13" s="42"/>
      <c r="V13" s="42"/>
      <c r="W13" s="30"/>
      <c r="X13" s="30"/>
    </row>
    <row r="14" spans="2:25" x14ac:dyDescent="0.25">
      <c r="C14" s="33" t="s">
        <v>32</v>
      </c>
      <c r="D14" s="34"/>
      <c r="E14" s="10"/>
      <c r="F14" s="1" t="s">
        <v>19</v>
      </c>
      <c r="G14" s="10"/>
      <c r="J14" s="62">
        <f>J12+1</f>
        <v>5</v>
      </c>
      <c r="K14" s="62" t="str">
        <f>IF(N14&lt;eps,"SI","NO")</f>
        <v>SI</v>
      </c>
      <c r="L14" s="63">
        <f>W12</f>
        <v>1.6049382716049378</v>
      </c>
      <c r="M14" s="63">
        <f>X12</f>
        <v>0.80246913580247048</v>
      </c>
      <c r="N14" s="18">
        <f>EvaluarDoble(ec,L14,M14)</f>
        <v>2.4359021445558675E-2</v>
      </c>
      <c r="O14" s="63">
        <f>EvaluarDoble(grad_x,L14,M14)</f>
        <v>-0.24663509213628254</v>
      </c>
      <c r="P14" s="64">
        <f>EvaluarDoble(grad_y,L14,M14)</f>
        <v>0</v>
      </c>
      <c r="Q14" s="65">
        <f>EvaluarDoble(mh_11,L14,M14)</f>
        <v>3.8728852309099056</v>
      </c>
      <c r="R14" s="66">
        <f>EvaluarDoble(mh_12,M14,N14)</f>
        <v>-4</v>
      </c>
      <c r="S14" s="67">
        <f t="array" ref="S14:T15">MINVERSE(Q14:R15)</f>
        <v>0.53393554687500477</v>
      </c>
      <c r="T14" s="68">
        <v>0.26696777343750233</v>
      </c>
      <c r="U14" s="64">
        <f t="array" ref="U14:V14">MMULT(-(O14:P14),S14:T15)</f>
        <v>0.1316872427983532</v>
      </c>
      <c r="V14" s="69">
        <v>6.5843621399176586E-2</v>
      </c>
      <c r="W14" s="64">
        <f>L14+U14</f>
        <v>1.7366255144032912</v>
      </c>
      <c r="X14" s="64">
        <f>M14+V14</f>
        <v>0.86831275720164702</v>
      </c>
      <c r="Y14" s="18">
        <f>SQRT(O14^2+P14^2)</f>
        <v>0.24663509213628254</v>
      </c>
    </row>
    <row r="15" spans="2:25" x14ac:dyDescent="0.25">
      <c r="C15" s="35" t="s">
        <v>33</v>
      </c>
      <c r="D15" s="36">
        <v>-4</v>
      </c>
      <c r="E15" s="10"/>
      <c r="F15" s="1" t="s">
        <v>32</v>
      </c>
      <c r="G15" s="10"/>
      <c r="Q15" s="70">
        <f>EvaluarDoble(mh_21,L15,M15)</f>
        <v>-4</v>
      </c>
      <c r="R15" s="71">
        <f>EvaluarDoble(mh_22,M15,N15)</f>
        <v>8</v>
      </c>
      <c r="S15" s="72">
        <v>0.26696777343750239</v>
      </c>
      <c r="T15" s="73">
        <v>0.25848388671875117</v>
      </c>
      <c r="U15" s="42"/>
      <c r="V15" s="42"/>
    </row>
    <row r="16" spans="2:25" ht="15" customHeight="1" x14ac:dyDescent="0.25">
      <c r="C16" s="57">
        <v>-4</v>
      </c>
      <c r="D16" s="58">
        <v>8</v>
      </c>
      <c r="E16" s="10"/>
      <c r="F16" s="10"/>
      <c r="G16" s="10"/>
    </row>
    <row r="17" spans="3:9" x14ac:dyDescent="0.25">
      <c r="C17" s="54" t="s">
        <v>41</v>
      </c>
      <c r="D17" s="55"/>
      <c r="E17" s="10"/>
      <c r="F17" s="10"/>
      <c r="G17" s="10"/>
    </row>
    <row r="18" spans="3:9" x14ac:dyDescent="0.25">
      <c r="C18" s="59">
        <f>VLOOKUP("SI",$K:$M,2,FALSE)</f>
        <v>1.6049382716049378</v>
      </c>
      <c r="D18" s="60">
        <f>VLOOKUP("SI",$K:$M,3,FALSE)</f>
        <v>0.80246913580247048</v>
      </c>
      <c r="E18" s="24"/>
      <c r="F18" s="56" t="s">
        <v>42</v>
      </c>
      <c r="G18" s="24"/>
    </row>
    <row r="19" spans="3:9" x14ac:dyDescent="0.25">
      <c r="C19" s="61" t="s">
        <v>43</v>
      </c>
      <c r="D19" s="61" t="s">
        <v>44</v>
      </c>
      <c r="E19" s="24"/>
      <c r="F19" s="24"/>
      <c r="G19" s="24"/>
    </row>
    <row r="20" spans="3:9" ht="15" customHeight="1" x14ac:dyDescent="0.25">
      <c r="C20" s="10"/>
      <c r="D20" s="10"/>
      <c r="E20" s="24"/>
      <c r="F20" s="24"/>
      <c r="G20" s="24"/>
    </row>
    <row r="21" spans="3:9" ht="15" customHeight="1" x14ac:dyDescent="0.25">
      <c r="C21" s="10"/>
      <c r="D21" s="10"/>
      <c r="E21" s="10"/>
      <c r="F21" s="10"/>
      <c r="G21" s="10"/>
    </row>
    <row r="22" spans="3:9" ht="21" x14ac:dyDescent="0.35">
      <c r="C22" s="28" t="s">
        <v>2</v>
      </c>
      <c r="D22" s="28"/>
      <c r="E22" s="28"/>
    </row>
    <row r="23" spans="3:9" ht="15" customHeight="1" x14ac:dyDescent="0.25">
      <c r="C23" s="4" t="s">
        <v>11</v>
      </c>
      <c r="D23" s="14" t="s">
        <v>10</v>
      </c>
      <c r="E23" s="14"/>
      <c r="F23" s="14"/>
      <c r="G23" s="14"/>
      <c r="H23" s="56"/>
    </row>
    <row r="24" spans="3:9" ht="15" customHeight="1" x14ac:dyDescent="0.25">
      <c r="C24" s="5" t="s">
        <v>5</v>
      </c>
      <c r="D24" s="22" t="s">
        <v>6</v>
      </c>
      <c r="E24" s="22"/>
      <c r="F24" s="22"/>
      <c r="G24" s="22"/>
      <c r="H24" s="21"/>
    </row>
    <row r="25" spans="3:9" ht="15" customHeight="1" x14ac:dyDescent="0.25">
      <c r="C25" s="5" t="s">
        <v>34</v>
      </c>
      <c r="D25" s="22" t="s">
        <v>45</v>
      </c>
      <c r="E25" s="22"/>
      <c r="F25" s="22"/>
      <c r="G25" s="22"/>
      <c r="H25" s="21"/>
      <c r="I25" s="24"/>
    </row>
    <row r="26" spans="3:9" ht="15" customHeight="1" x14ac:dyDescent="0.25">
      <c r="C26" s="5" t="s">
        <v>35</v>
      </c>
      <c r="D26" s="22" t="s">
        <v>46</v>
      </c>
      <c r="E26" s="22"/>
      <c r="F26" s="22"/>
      <c r="G26" s="22"/>
      <c r="H26" s="21"/>
      <c r="I26" s="24"/>
    </row>
    <row r="27" spans="3:9" x14ac:dyDescent="0.25">
      <c r="C27" s="5" t="s">
        <v>20</v>
      </c>
      <c r="D27" s="22" t="s">
        <v>21</v>
      </c>
      <c r="E27" s="22"/>
      <c r="F27" s="22"/>
      <c r="G27" s="22"/>
      <c r="H27" s="21"/>
      <c r="I27" s="24"/>
    </row>
    <row r="28" spans="3:9" x14ac:dyDescent="0.25">
      <c r="C28" s="5" t="s">
        <v>16</v>
      </c>
      <c r="D28" s="22" t="s">
        <v>22</v>
      </c>
      <c r="E28" s="3"/>
      <c r="F28" s="3"/>
      <c r="G28" s="3"/>
      <c r="I28" s="24"/>
    </row>
    <row r="29" spans="3:9" x14ac:dyDescent="0.25">
      <c r="C29" s="5" t="s">
        <v>32</v>
      </c>
      <c r="D29" s="22" t="s">
        <v>47</v>
      </c>
      <c r="E29" s="20"/>
      <c r="F29" s="20"/>
      <c r="G29" s="20"/>
      <c r="H29" s="24"/>
      <c r="I29" s="24"/>
    </row>
    <row r="30" spans="3:9" x14ac:dyDescent="0.25">
      <c r="C30" s="10"/>
      <c r="D30" s="10"/>
      <c r="E30" s="24"/>
      <c r="F30" s="24"/>
      <c r="G30" s="24"/>
      <c r="H30" s="24"/>
      <c r="I30" s="24"/>
    </row>
    <row r="31" spans="3:9" x14ac:dyDescent="0.25">
      <c r="C31" s="10"/>
      <c r="D31" s="10"/>
      <c r="E31" s="10"/>
      <c r="F31" s="10"/>
      <c r="G31" s="10"/>
      <c r="H31" s="10"/>
      <c r="I31" s="10"/>
    </row>
    <row r="32" spans="3:9" ht="21" x14ac:dyDescent="0.35">
      <c r="C32" s="23" t="s">
        <v>48</v>
      </c>
      <c r="D32" s="23"/>
      <c r="E32" s="25"/>
      <c r="F32" s="10"/>
      <c r="G32" s="10"/>
      <c r="H32" s="10"/>
      <c r="I32" s="10"/>
    </row>
    <row r="33" spans="3:9" ht="15" customHeight="1" x14ac:dyDescent="0.25">
      <c r="C33" s="26" t="s">
        <v>49</v>
      </c>
      <c r="D33" s="26"/>
      <c r="E33" s="26"/>
      <c r="F33" s="10"/>
      <c r="G33" s="10"/>
      <c r="H33" s="10"/>
      <c r="I33" s="10"/>
    </row>
    <row r="34" spans="3:9" x14ac:dyDescent="0.25">
      <c r="C34" s="26"/>
      <c r="D34" s="26"/>
      <c r="E34" s="26"/>
      <c r="F34" s="10"/>
      <c r="G34" s="10"/>
      <c r="H34" s="10"/>
      <c r="I34" s="10"/>
    </row>
    <row r="35" spans="3:9" x14ac:dyDescent="0.25">
      <c r="C35" s="26"/>
      <c r="D35" s="26"/>
      <c r="E35" s="26"/>
    </row>
    <row r="36" spans="3:9" x14ac:dyDescent="0.25">
      <c r="C36" s="26"/>
      <c r="D36" s="26"/>
      <c r="E36" s="26"/>
    </row>
    <row r="37" spans="3:9" x14ac:dyDescent="0.25">
      <c r="C37" s="53"/>
      <c r="D37" s="53"/>
      <c r="E37" s="53"/>
    </row>
    <row r="38" spans="3:9" x14ac:dyDescent="0.25">
      <c r="C38" s="53"/>
      <c r="D38" s="53"/>
      <c r="E38" s="53"/>
    </row>
  </sheetData>
  <mergeCells count="11">
    <mergeCell ref="C33:E36"/>
    <mergeCell ref="S5:T5"/>
    <mergeCell ref="U5:V5"/>
    <mergeCell ref="W5:X5"/>
    <mergeCell ref="C14:D14"/>
    <mergeCell ref="C17:D17"/>
    <mergeCell ref="F9:H9"/>
    <mergeCell ref="L5:M5"/>
    <mergeCell ref="O5:P5"/>
    <mergeCell ref="Q5:R5"/>
    <mergeCell ref="C22:E2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16" baseType="lpstr">
      <vt:lpstr>Newton Multidimensional</vt:lpstr>
      <vt:lpstr>diff_2_n</vt:lpstr>
      <vt:lpstr>diff_n</vt:lpstr>
      <vt:lpstr>ec</vt:lpstr>
      <vt:lpstr>ec_g</vt:lpstr>
      <vt:lpstr>eps</vt:lpstr>
      <vt:lpstr>grad</vt:lpstr>
      <vt:lpstr>grad_x</vt:lpstr>
      <vt:lpstr>grad_y</vt:lpstr>
      <vt:lpstr>I_g</vt:lpstr>
      <vt:lpstr>mh_11</vt:lpstr>
      <vt:lpstr>mh_12</vt:lpstr>
      <vt:lpstr>mh_21</vt:lpstr>
      <vt:lpstr>mh_22</vt:lpstr>
      <vt:lpstr>x</vt:lpstr>
      <vt:lpstr>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practica</dc:creator>
  <cp:lastModifiedBy>David de los Santos Boix</cp:lastModifiedBy>
  <dcterms:created xsi:type="dcterms:W3CDTF">2017-02-15T15:07:10Z</dcterms:created>
  <dcterms:modified xsi:type="dcterms:W3CDTF">2017-03-07T15:59:10Z</dcterms:modified>
</cp:coreProperties>
</file>