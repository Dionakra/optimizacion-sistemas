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ddlsb\Desktop\"/>
    </mc:Choice>
  </mc:AlternateContent>
  <bookViews>
    <workbookView xWindow="0" yWindow="0" windowWidth="20460" windowHeight="7650"/>
  </bookViews>
  <sheets>
    <sheet name="Búsqueda Dicotómica" sheetId="1" r:id="rId1"/>
    <sheet name="Golden Ratio" sheetId="3" r:id="rId2"/>
    <sheet name="Evaluación de Funciones" sheetId="4" r:id="rId3"/>
  </sheets>
  <functionGroups builtInGroupCount="18"/>
  <definedNames>
    <definedName name="a_0_g">'Golden Ratio'!$D$17</definedName>
    <definedName name="a0">'Búsqueda Dicotómica'!$D$17</definedName>
    <definedName name="a0_g">'Golden Ratio'!$D$17</definedName>
    <definedName name="b_0_g">'Golden Ratio'!$D$18</definedName>
    <definedName name="b0">'Búsqueda Dicotómica'!$D$18</definedName>
    <definedName name="ec">'Búsqueda Dicotómica'!$D$19</definedName>
    <definedName name="ec_g">'Golden Ratio'!$D$19</definedName>
    <definedName name="eps">'Búsqueda Dicotómica'!$D$15</definedName>
    <definedName name="I_g">'Golden Ratio'!$D$16</definedName>
    <definedName name="l">'Búsqueda Dicotómica'!$D$16</definedName>
    <definedName name="ro">'Golden Ratio'!$C$15</definedName>
    <definedName name="ro_name">'Golden Ratio'!$C$15</definedName>
    <definedName name="ro_value">'Golden Ratio'!$D$15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5" i="3" l="1"/>
  <c r="M15" i="3"/>
  <c r="K15" i="3" s="1"/>
  <c r="J15" i="3"/>
  <c r="H13" i="4"/>
  <c r="O15" i="3"/>
  <c r="G13" i="4"/>
  <c r="H14" i="4"/>
  <c r="G14" i="4"/>
  <c r="N15" i="3"/>
  <c r="L15" i="3" l="1"/>
  <c r="M16" i="3" l="1"/>
  <c r="J16" i="3"/>
  <c r="P15" i="3"/>
  <c r="K16" i="3" l="1"/>
  <c r="L16" i="3"/>
  <c r="O16" i="3"/>
  <c r="N16" i="3"/>
  <c r="P16" i="3" l="1"/>
  <c r="Q16" i="3" s="1"/>
  <c r="M17" i="3"/>
  <c r="J17" i="3"/>
  <c r="K17" i="3" l="1"/>
  <c r="L17" i="3"/>
  <c r="O17" i="3"/>
  <c r="N17" i="3"/>
  <c r="P17" i="3" l="1"/>
  <c r="Q17" i="3" s="1"/>
  <c r="J18" i="3" l="1"/>
  <c r="M18" i="3"/>
  <c r="K18" i="3" l="1"/>
  <c r="L18" i="3"/>
  <c r="O18" i="3"/>
  <c r="N18" i="3"/>
  <c r="P18" i="3" l="1"/>
  <c r="Q18" i="3" s="1"/>
  <c r="M19" i="3"/>
  <c r="J19" i="3"/>
  <c r="L19" i="3" l="1"/>
  <c r="K19" i="3"/>
  <c r="N19" i="3"/>
  <c r="O19" i="3"/>
  <c r="P19" i="3" l="1"/>
  <c r="Q19" i="3" s="1"/>
  <c r="M20" i="3" l="1"/>
  <c r="J20" i="3"/>
  <c r="L20" i="3" l="1"/>
  <c r="K20" i="3"/>
  <c r="N20" i="3"/>
  <c r="O20" i="3"/>
  <c r="P20" i="3" l="1"/>
  <c r="Q20" i="3" s="1"/>
  <c r="J21" i="3" l="1"/>
  <c r="M21" i="3"/>
  <c r="K21" i="3" l="1"/>
  <c r="L21" i="3"/>
  <c r="N21" i="3"/>
  <c r="O21" i="3"/>
  <c r="P21" i="3" l="1"/>
  <c r="Q21" i="3" s="1"/>
  <c r="M22" i="3"/>
  <c r="J22" i="3"/>
  <c r="K22" i="3" l="1"/>
  <c r="L22" i="3"/>
  <c r="O22" i="3"/>
  <c r="N22" i="3"/>
  <c r="P22" i="3" l="1"/>
  <c r="Q22" i="3" s="1"/>
  <c r="J23" i="3"/>
  <c r="M23" i="3"/>
  <c r="L23" i="3" l="1"/>
  <c r="K23" i="3"/>
  <c r="N23" i="3"/>
  <c r="O23" i="3"/>
  <c r="P23" i="3" l="1"/>
  <c r="Q23" i="3" s="1"/>
  <c r="M24" i="3" l="1"/>
  <c r="J24" i="3"/>
  <c r="K24" i="3" l="1"/>
  <c r="L24" i="3"/>
  <c r="O24" i="3"/>
  <c r="N24" i="3"/>
  <c r="P24" i="3" l="1"/>
  <c r="Q24" i="3" s="1"/>
  <c r="M25" i="3" l="1"/>
  <c r="J25" i="3"/>
  <c r="K25" i="3" l="1"/>
  <c r="L25" i="3"/>
  <c r="N25" i="3"/>
  <c r="O25" i="3"/>
  <c r="P25" i="3" l="1"/>
  <c r="Q25" i="3" s="1"/>
  <c r="J26" i="3"/>
  <c r="M26" i="3"/>
  <c r="K26" i="3" l="1"/>
  <c r="L26" i="3"/>
  <c r="N26" i="3"/>
  <c r="O26" i="3"/>
  <c r="P26" i="3" l="1"/>
  <c r="Q26" i="3" s="1"/>
  <c r="M27" i="3" l="1"/>
  <c r="J27" i="3"/>
  <c r="K27" i="3" l="1"/>
  <c r="L27" i="3"/>
  <c r="O27" i="3"/>
  <c r="N27" i="3"/>
  <c r="P27" i="3" l="1"/>
  <c r="Q27" i="3" s="1"/>
  <c r="J28" i="3" l="1"/>
  <c r="M28" i="3"/>
  <c r="K28" i="3" s="1"/>
  <c r="N28" i="3"/>
  <c r="L28" i="3" l="1"/>
  <c r="O28" i="3"/>
  <c r="P28" i="3" l="1"/>
  <c r="Q28" i="3" s="1"/>
  <c r="M11" i="3" l="1"/>
  <c r="F17" i="3" l="1"/>
  <c r="F16" i="3"/>
  <c r="M15" i="1" l="1"/>
  <c r="F15" i="1"/>
  <c r="F16" i="1"/>
  <c r="F17" i="1"/>
  <c r="N15" i="1"/>
  <c r="O15" i="1"/>
  <c r="J15" i="1" l="1"/>
  <c r="P15" i="1" l="1"/>
  <c r="Q15" i="1" s="1"/>
  <c r="K15" i="1"/>
  <c r="L15" i="1"/>
  <c r="M16" i="1" l="1"/>
  <c r="J16" i="1" l="1"/>
  <c r="P16" i="1" s="1"/>
  <c r="Q16" i="1" s="1"/>
  <c r="L16" i="1" l="1"/>
  <c r="K16" i="1"/>
  <c r="N16" i="1"/>
  <c r="O16" i="1"/>
  <c r="M17" i="1" l="1"/>
  <c r="J17" i="1" l="1"/>
  <c r="P17" i="1" s="1"/>
  <c r="Q17" i="1" s="1"/>
  <c r="L17" i="1" l="1"/>
  <c r="K17" i="1"/>
  <c r="O17" i="1"/>
  <c r="N17" i="1"/>
  <c r="M18" i="1" l="1"/>
  <c r="J18" i="1"/>
  <c r="P18" i="1" l="1"/>
  <c r="Q18" i="1" s="1"/>
  <c r="L18" i="1"/>
  <c r="K18" i="1"/>
  <c r="N18" i="1"/>
  <c r="O18" i="1"/>
  <c r="M19" i="1" l="1"/>
  <c r="J19" i="1"/>
  <c r="K19" i="1" s="1"/>
  <c r="N19" i="1"/>
  <c r="P19" i="1" l="1"/>
  <c r="Q19" i="1" s="1"/>
  <c r="L19" i="1"/>
  <c r="O19" i="1"/>
  <c r="J20" i="1" l="1"/>
  <c r="M20" i="1"/>
  <c r="P20" i="1" s="1"/>
  <c r="Q20" i="1" s="1"/>
  <c r="L20" i="1" l="1"/>
  <c r="K20" i="1"/>
  <c r="O20" i="1"/>
  <c r="N20" i="1"/>
  <c r="M21" i="1" l="1"/>
  <c r="J21" i="1"/>
  <c r="P21" i="1" s="1"/>
  <c r="Q21" i="1" s="1"/>
  <c r="K21" i="1" l="1"/>
  <c r="L21" i="1"/>
  <c r="O21" i="1"/>
  <c r="N21" i="1"/>
  <c r="M22" i="1" l="1"/>
  <c r="J22" i="1"/>
  <c r="P22" i="1" s="1"/>
  <c r="Q22" i="1" s="1"/>
  <c r="L22" i="1" l="1"/>
  <c r="K22" i="1"/>
  <c r="N22" i="1"/>
  <c r="O22" i="1"/>
  <c r="J23" i="1" l="1"/>
  <c r="M23" i="1"/>
  <c r="L23" i="1" l="1"/>
  <c r="P23" i="1"/>
  <c r="Q23" i="1" s="1"/>
  <c r="K23" i="1"/>
  <c r="N23" i="1"/>
  <c r="O23" i="1"/>
  <c r="J24" i="1" l="1"/>
  <c r="M24" i="1"/>
  <c r="P24" i="1" l="1"/>
  <c r="Q24" i="1" s="1"/>
  <c r="L24" i="1"/>
  <c r="K24" i="1"/>
  <c r="N24" i="1"/>
  <c r="O24" i="1"/>
  <c r="J25" i="1" l="1"/>
  <c r="M25" i="1"/>
  <c r="P25" i="1" s="1"/>
  <c r="Q25" i="1" s="1"/>
  <c r="K25" i="1" l="1"/>
  <c r="L25" i="1"/>
  <c r="O25" i="1"/>
  <c r="N25" i="1"/>
  <c r="J26" i="1" l="1"/>
  <c r="M26" i="1"/>
  <c r="P26" i="1" s="1"/>
  <c r="Q26" i="1" s="1"/>
  <c r="K26" i="1" l="1"/>
  <c r="L26" i="1"/>
  <c r="N26" i="1"/>
  <c r="O26" i="1"/>
  <c r="M27" i="1" l="1"/>
  <c r="J27" i="1"/>
  <c r="L27" i="1" l="1"/>
  <c r="P27" i="1"/>
  <c r="Q27" i="1" s="1"/>
  <c r="K27" i="1"/>
  <c r="O27" i="1"/>
  <c r="N27" i="1"/>
</calcChain>
</file>

<file path=xl/comments1.xml><?xml version="1.0" encoding="utf-8"?>
<comments xmlns="http://schemas.openxmlformats.org/spreadsheetml/2006/main">
  <authors>
    <author>David de los Santos Boix</author>
  </authors>
  <commentList>
    <comment ref="I14" authorId="0" shapeId="0">
      <text>
        <r>
          <rPr>
            <b/>
            <sz val="9"/>
            <color indexed="81"/>
            <rFont val="Tahoma"/>
            <charset val="1"/>
          </rPr>
          <t xml:space="preserve">David de los Santos Boix:
</t>
        </r>
        <r>
          <rPr>
            <sz val="9"/>
            <color indexed="81"/>
            <rFont val="Tahoma"/>
            <family val="2"/>
          </rPr>
          <t>Número de ejecución</t>
        </r>
      </text>
    </comment>
    <comment ref="J14" authorId="0" shapeId="0">
      <text>
        <r>
          <rPr>
            <b/>
            <sz val="9"/>
            <color indexed="81"/>
            <rFont val="Tahoma"/>
            <family val="2"/>
          </rPr>
          <t>David de los Santos Boix:</t>
        </r>
        <r>
          <rPr>
            <sz val="9"/>
            <color indexed="81"/>
            <rFont val="Tahoma"/>
            <family val="2"/>
          </rPr>
          <t xml:space="preserve">
Límite inferior del intervalo</t>
        </r>
      </text>
    </comment>
    <comment ref="K14" authorId="0" shapeId="0">
      <text>
        <r>
          <rPr>
            <b/>
            <sz val="9"/>
            <color indexed="81"/>
            <rFont val="Tahoma"/>
            <family val="2"/>
          </rPr>
          <t>David de los Santos Boix:</t>
        </r>
        <r>
          <rPr>
            <sz val="9"/>
            <color indexed="81"/>
            <rFont val="Tahoma"/>
            <family val="2"/>
          </rPr>
          <t xml:space="preserve">
Punto medio de la dicotomía menos la holgura</t>
        </r>
      </text>
    </comment>
    <comment ref="L14" authorId="0" shapeId="0">
      <text>
        <r>
          <rPr>
            <b/>
            <sz val="9"/>
            <color indexed="81"/>
            <rFont val="Tahoma"/>
            <family val="2"/>
          </rPr>
          <t xml:space="preserve">David de los Santos Boix:
</t>
        </r>
        <r>
          <rPr>
            <sz val="9"/>
            <color indexed="81"/>
            <rFont val="Tahoma"/>
            <family val="2"/>
          </rPr>
          <t>Valor medio de la dicotomía más holgura</t>
        </r>
      </text>
    </comment>
    <comment ref="M14" authorId="0" shapeId="0">
      <text>
        <r>
          <rPr>
            <b/>
            <sz val="9"/>
            <color indexed="81"/>
            <rFont val="Tahoma"/>
            <family val="2"/>
          </rPr>
          <t>David de los Santos Boix:</t>
        </r>
        <r>
          <rPr>
            <sz val="9"/>
            <color indexed="81"/>
            <rFont val="Tahoma"/>
            <family val="2"/>
          </rPr>
          <t xml:space="preserve">
Límite superior del intervalo</t>
        </r>
      </text>
    </comment>
    <comment ref="N14" authorId="0" shapeId="0">
      <text>
        <r>
          <rPr>
            <b/>
            <sz val="9"/>
            <color indexed="81"/>
            <rFont val="Tahoma"/>
            <family val="2"/>
          </rPr>
          <t>David de los Santos Boix:</t>
        </r>
        <r>
          <rPr>
            <sz val="9"/>
            <color indexed="81"/>
            <rFont val="Tahoma"/>
            <family val="2"/>
          </rPr>
          <t xml:space="preserve">
Valor de la función para el punto A</t>
        </r>
      </text>
    </comment>
    <comment ref="O14" authorId="0" shapeId="0">
      <text>
        <r>
          <rPr>
            <b/>
            <sz val="9"/>
            <color indexed="81"/>
            <rFont val="Tahoma"/>
            <family val="2"/>
          </rPr>
          <t>David de los Santos Boix:</t>
        </r>
        <r>
          <rPr>
            <sz val="9"/>
            <color indexed="81"/>
            <rFont val="Tahoma"/>
            <family val="2"/>
          </rPr>
          <t xml:space="preserve">
Valor de la función para el punto B</t>
        </r>
      </text>
    </comment>
    <comment ref="P14" authorId="0" shapeId="0">
      <text>
        <r>
          <rPr>
            <b/>
            <sz val="9"/>
            <color indexed="81"/>
            <rFont val="Tahoma"/>
            <family val="2"/>
          </rPr>
          <t>David de los Santos Boix:</t>
        </r>
        <r>
          <rPr>
            <sz val="9"/>
            <color indexed="81"/>
            <rFont val="Tahoma"/>
            <family val="2"/>
          </rPr>
          <t xml:space="preserve">
Distancia entre los puntos del intervalo de búsqueda</t>
        </r>
      </text>
    </comment>
    <comment ref="Q14" authorId="0" shapeId="0">
      <text>
        <r>
          <rPr>
            <b/>
            <sz val="9"/>
            <color indexed="81"/>
            <rFont val="Tahoma"/>
            <family val="2"/>
          </rPr>
          <t>David de los Santos Boix:</t>
        </r>
        <r>
          <rPr>
            <sz val="9"/>
            <color indexed="81"/>
            <rFont val="Tahoma"/>
            <family val="2"/>
          </rPr>
          <t xml:space="preserve">
Indica si, en base a la incertidumbre, ya se ha llegado a un valor mínimo aceptable</t>
        </r>
      </text>
    </comment>
  </commentList>
</comments>
</file>

<file path=xl/comments2.xml><?xml version="1.0" encoding="utf-8"?>
<comments xmlns="http://schemas.openxmlformats.org/spreadsheetml/2006/main">
  <authors>
    <author>David de los Santos Boix</author>
  </authors>
  <commentList>
    <comment ref="I14" authorId="0" shapeId="0">
      <text>
        <r>
          <rPr>
            <b/>
            <sz val="9"/>
            <color indexed="81"/>
            <rFont val="Tahoma"/>
            <charset val="1"/>
          </rPr>
          <t xml:space="preserve">David de los Santos Boix:
</t>
        </r>
        <r>
          <rPr>
            <sz val="9"/>
            <color indexed="81"/>
            <rFont val="Tahoma"/>
            <family val="2"/>
          </rPr>
          <t>Número de ejecución</t>
        </r>
      </text>
    </comment>
    <comment ref="J14" authorId="0" shapeId="0">
      <text>
        <r>
          <rPr>
            <b/>
            <sz val="9"/>
            <color indexed="81"/>
            <rFont val="Tahoma"/>
            <family val="2"/>
          </rPr>
          <t>David de los Santos Boix:</t>
        </r>
        <r>
          <rPr>
            <sz val="9"/>
            <color indexed="81"/>
            <rFont val="Tahoma"/>
            <family val="2"/>
          </rPr>
          <t xml:space="preserve">
Límite inferior del intervalo</t>
        </r>
      </text>
    </comment>
    <comment ref="K14" authorId="0" shapeId="0">
      <text>
        <r>
          <rPr>
            <b/>
            <sz val="9"/>
            <color indexed="81"/>
            <rFont val="Tahoma"/>
            <family val="2"/>
          </rPr>
          <t>David de los Santos Boix:</t>
        </r>
        <r>
          <rPr>
            <sz val="9"/>
            <color indexed="81"/>
            <rFont val="Tahoma"/>
            <family val="2"/>
          </rPr>
          <t xml:space="preserve">
Valor interno de Golden Ratio para A</t>
        </r>
      </text>
    </comment>
    <comment ref="M14" authorId="0" shapeId="0">
      <text>
        <r>
          <rPr>
            <b/>
            <sz val="9"/>
            <color indexed="81"/>
            <rFont val="Tahoma"/>
            <family val="2"/>
          </rPr>
          <t>David de los Santos Boix:</t>
        </r>
        <r>
          <rPr>
            <sz val="9"/>
            <color indexed="81"/>
            <rFont val="Tahoma"/>
            <family val="2"/>
          </rPr>
          <t xml:space="preserve">
Límite superior del intervalo</t>
        </r>
      </text>
    </comment>
    <comment ref="N14" authorId="0" shapeId="0">
      <text>
        <r>
          <rPr>
            <b/>
            <sz val="9"/>
            <color indexed="81"/>
            <rFont val="Tahoma"/>
            <family val="2"/>
          </rPr>
          <t>David de los Santos Boix:</t>
        </r>
        <r>
          <rPr>
            <sz val="9"/>
            <color indexed="81"/>
            <rFont val="Tahoma"/>
            <family val="2"/>
          </rPr>
          <t xml:space="preserve">
Valor de la función para el punto A</t>
        </r>
      </text>
    </comment>
    <comment ref="O14" authorId="0" shapeId="0">
      <text>
        <r>
          <rPr>
            <b/>
            <sz val="9"/>
            <color indexed="81"/>
            <rFont val="Tahoma"/>
            <family val="2"/>
          </rPr>
          <t>David de los Santos Boix:</t>
        </r>
        <r>
          <rPr>
            <sz val="9"/>
            <color indexed="81"/>
            <rFont val="Tahoma"/>
            <family val="2"/>
          </rPr>
          <t xml:space="preserve">
Valor de la función para el punto B</t>
        </r>
      </text>
    </comment>
    <comment ref="Q14" authorId="0" shapeId="0">
      <text>
        <r>
          <rPr>
            <b/>
            <sz val="9"/>
            <color indexed="81"/>
            <rFont val="Tahoma"/>
            <family val="2"/>
          </rPr>
          <t>David de los Santos Boix:</t>
        </r>
        <r>
          <rPr>
            <sz val="9"/>
            <color indexed="81"/>
            <rFont val="Tahoma"/>
            <family val="2"/>
          </rPr>
          <t xml:space="preserve">
Indica si, en base a la incertidumbre, ya se ha llegado a un valor mínimo aceptable</t>
        </r>
      </text>
    </comment>
  </commentList>
</comments>
</file>

<file path=xl/sharedStrings.xml><?xml version="1.0" encoding="utf-8"?>
<sst xmlns="http://schemas.openxmlformats.org/spreadsheetml/2006/main" count="102" uniqueCount="65">
  <si>
    <t>bi</t>
  </si>
  <si>
    <t>lm_i</t>
  </si>
  <si>
    <t>f(lm_i)</t>
  </si>
  <si>
    <t>nu_i</t>
  </si>
  <si>
    <t>f(nu_i)</t>
  </si>
  <si>
    <t>incertidumbre</t>
  </si>
  <si>
    <t>a_i</t>
  </si>
  <si>
    <t>a_i+1</t>
  </si>
  <si>
    <t>b_i+1</t>
  </si>
  <si>
    <t>b_i</t>
  </si>
  <si>
    <t>Optimización de Funciones</t>
  </si>
  <si>
    <t>Búsqueda Dicotómica</t>
  </si>
  <si>
    <t>Una metodología para optimizar el valor de una función dada es la de ir partiendo el espacio de búsqueda en dos trozos, aproximadamente por la mitad. Dependiendo de los valores obtenidos vamos descartando una sección de espacio u otra, afinando cada vez más la búsqueda.
Para ello buscamos el valor mínimo en una región del espacia determinada, con un intervalo de confianza mínimo, así como una perturbación, de al menos un orden menor que el intervalo de confianza, con el que realizar la búsqueda.</t>
  </si>
  <si>
    <t>Valor</t>
  </si>
  <si>
    <t>ε</t>
  </si>
  <si>
    <t>Semántica de Parámetros</t>
  </si>
  <si>
    <t xml:space="preserve"> ε (Epsilom)</t>
  </si>
  <si>
    <t>I</t>
  </si>
  <si>
    <t>Incertidumbre mínima como condición de parada del algoritmo</t>
  </si>
  <si>
    <t>a_0</t>
  </si>
  <si>
    <t>b_0</t>
  </si>
  <si>
    <t>Límite superior del intervalo de búsqueda</t>
  </si>
  <si>
    <t>Límite inferior del intervalo de búsqueda</t>
  </si>
  <si>
    <t>Ejemplo Práctico</t>
  </si>
  <si>
    <t>Valor de holgura, de al menos una magnitud menor a la incertidumbre para establecer la dicotomía</t>
  </si>
  <si>
    <t>Calculamos el mínimo de la siguiente función, el cual sabemos que se encuentra en x=-1</t>
  </si>
  <si>
    <t>Parámetro</t>
  </si>
  <si>
    <t>Ejecución</t>
  </si>
  <si>
    <t>Incertidumbre</t>
  </si>
  <si>
    <t>Final</t>
  </si>
  <si>
    <t>x^2 + 2*x</t>
  </si>
  <si>
    <t>Ecuación</t>
  </si>
  <si>
    <t>Expresión analítica de X a la que obterner el mínimo</t>
  </si>
  <si>
    <t>Expresión analítica</t>
  </si>
  <si>
    <t>Golden Ratio</t>
  </si>
  <si>
    <t>El algoritmo, en base a la comparación de valores, escoge uno de los extremos, dejándolo fijo, y mueve el otro al punto más óptimo, acotando la búsqueda a la mitad del espacio.</t>
  </si>
  <si>
    <t>Este algoritmo no es complejo dado que simplemente va descartando la mitad donde no está. A nivel computacional tiene la contra de que realiza dos operaciones por ejecución.</t>
  </si>
  <si>
    <r>
      <t xml:space="preserve">En Golden Ratio se realiza un proceso parecido, pero realizando una única evaluación de la ecuación, por lo que computacionalmente es más rápida. Para conseguir esto tiene por contrapeso que "discrimina" menos espacio de búsqueda a cada paso, relacionado íntimamente con la variable </t>
    </r>
    <r>
      <rPr>
        <sz val="11"/>
        <color theme="1"/>
        <rFont val="Calibri"/>
        <family val="2"/>
      </rPr>
      <t>ρ, la cual determina el paso que se da</t>
    </r>
  </si>
  <si>
    <t>ρ</t>
  </si>
  <si>
    <t>Valor del espacio recorrido. ρ &lt; 0.5</t>
  </si>
  <si>
    <t>ρ (ro)</t>
  </si>
  <si>
    <t>Establecemos el valor óptimo</t>
  </si>
  <si>
    <t>Este algoritmo va moviéndose algo más lento que el dicotómico, pero realizando una única evaluación en cada ejecución, por lo que computacionalmente es más rápido.</t>
  </si>
  <si>
    <t>Aún así, podemos observar que para la ecuación x^2 + 2*x en el intervalo [-10, 12] tarda 13 iteraciones en obtener el óptimo, mientras con el dicotómico, 12.</t>
  </si>
  <si>
    <t>Con esto, tenemos 13*1 = 13 evaluaciones en este algoritmo, mientras que en el dicotóico tenemos 2*12 = 24 evaluaciones, por lo que computacionalmente, Golden Ratio es bastante más eficiente.</t>
  </si>
  <si>
    <t>Evaluación automática de funciones</t>
  </si>
  <si>
    <t>Formula</t>
  </si>
  <si>
    <t>v_value</t>
  </si>
  <si>
    <t>Celda que contiene la expresión analítica a minimizar</t>
  </si>
  <si>
    <t>Celda que contiene la x a calcular de f(x)</t>
  </si>
  <si>
    <t>Para customizar al máximo la experiencia Excel se ha realizado una pequeña función de Excel en VBA para que el usuario escriba su ecuación analíticamente, siempre con una variable, siendo esta la variable "x" que, dado un valor a calcular, realiza la interpretación y cálculo al vuelo.</t>
  </si>
  <si>
    <t>Ecuaciones</t>
  </si>
  <si>
    <t>sqrt(x) + x^3</t>
  </si>
  <si>
    <t>Evaluar(Celda_Ecuacion;Celda_Valor)</t>
  </si>
  <si>
    <t>EvaluarNumero(Celda_Ecuacion;Valor_Numerico)</t>
  </si>
  <si>
    <t>Para ejecutar esta función solo debemos escribir en una celda la expresión y darle un valor con la siguiente estructura:</t>
  </si>
  <si>
    <t>CódigoRef</t>
  </si>
  <si>
    <t>CódigoVal</t>
  </si>
  <si>
    <t>ValorVal</t>
  </si>
  <si>
    <t>ValorRef</t>
  </si>
  <si>
    <t>EvaluarNumero(C13;3)</t>
  </si>
  <si>
    <t>Evaluar(C13;D13)</t>
  </si>
  <si>
    <t>EvaluarNumero(C13;2)</t>
  </si>
  <si>
    <t>¡Activar las macros para que funcione el análisis de ecuaciones!</t>
  </si>
  <si>
    <t>David de los Santos Boix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</si>
</sst>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00"/>
  </numFmts>
  <fonts count="9" x14ac:knownFonts="1">
    <font>
      <sz val="11"/>
      <color theme="1"/>
      <name val="Calibri"/>
      <family val="2"/>
      <scheme val="minor"/>
    </font>
    <font>
      <b/>
      <sz val="11"/>
      <color theme="1"/>
      <name val="Calibri"/>
      <family val="2"/>
      <scheme val="minor"/>
    </font>
    <font>
      <sz val="16"/>
      <color theme="1"/>
      <name val="Calibri"/>
      <family val="2"/>
      <scheme val="minor"/>
    </font>
    <font>
      <sz val="26"/>
      <color theme="1"/>
      <name val="Calibri"/>
      <family val="2"/>
      <scheme val="minor"/>
    </font>
    <font>
      <sz val="11"/>
      <color theme="1"/>
      <name val="Calibri"/>
      <family val="2"/>
    </font>
    <font>
      <sz val="9"/>
      <color indexed="81"/>
      <name val="Tahoma"/>
      <family val="2"/>
    </font>
    <font>
      <b/>
      <sz val="9"/>
      <color indexed="81"/>
      <name val="Tahoma"/>
      <family val="2"/>
    </font>
    <font>
      <b/>
      <sz val="9"/>
      <color indexed="81"/>
      <name val="Tahoma"/>
      <charset val="1"/>
    </font>
    <font>
      <b/>
      <sz val="11"/>
      <color rgb="FFFF000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cellStyleXfs>
  <cellXfs count="38">
    <xf numFmtId="0" fontId="0" fillId="0" borderId="0" xfId="0"/>
    <xf numFmtId="0" fontId="0" fillId="2" borderId="0" xfId="0" applyFill="1"/>
    <xf numFmtId="0" fontId="0" fillId="2" borderId="0" xfId="0" applyFont="1" applyFill="1"/>
    <xf numFmtId="0" fontId="0" fillId="4" borderId="0" xfId="0" applyFill="1"/>
    <xf numFmtId="0" fontId="1" fillId="4" borderId="0" xfId="0" applyFont="1" applyFill="1" applyAlignment="1">
      <alignment vertical="top"/>
    </xf>
    <xf numFmtId="0" fontId="1" fillId="4" borderId="0" xfId="0" applyFont="1" applyFill="1"/>
    <xf numFmtId="0" fontId="0" fillId="4" borderId="0" xfId="0" applyFont="1" applyFill="1"/>
    <xf numFmtId="0" fontId="2" fillId="3" borderId="0" xfId="0" applyFont="1" applyFill="1" applyAlignment="1">
      <alignment horizontal="left"/>
    </xf>
    <xf numFmtId="0" fontId="0" fillId="3" borderId="0" xfId="0" applyFill="1" applyAlignment="1">
      <alignment horizontal="left"/>
    </xf>
    <xf numFmtId="0" fontId="4" fillId="2" borderId="1" xfId="0" applyFont="1" applyFill="1" applyBorder="1"/>
    <xf numFmtId="0" fontId="0" fillId="2" borderId="1" xfId="0" applyFill="1" applyBorder="1"/>
    <xf numFmtId="0" fontId="0" fillId="4" borderId="0" xfId="0" applyFont="1" applyFill="1" applyAlignment="1">
      <alignment horizontal="left"/>
    </xf>
    <xf numFmtId="0" fontId="0" fillId="4" borderId="0" xfId="0" applyFill="1" applyAlignment="1">
      <alignment horizontal="left"/>
    </xf>
    <xf numFmtId="0" fontId="2" fillId="3" borderId="0" xfId="0" applyFont="1" applyFill="1" applyAlignment="1">
      <alignment horizontal="left"/>
    </xf>
    <xf numFmtId="164" fontId="0" fillId="2" borderId="1" xfId="0" applyNumberFormat="1" applyFill="1" applyBorder="1"/>
    <xf numFmtId="0" fontId="0" fillId="2" borderId="2" xfId="0" applyFill="1" applyBorder="1"/>
    <xf numFmtId="164" fontId="0" fillId="2" borderId="2" xfId="0" applyNumberFormat="1" applyFill="1" applyBorder="1"/>
    <xf numFmtId="0" fontId="1" fillId="4" borderId="3" xfId="0" applyFont="1" applyFill="1" applyBorder="1"/>
    <xf numFmtId="0" fontId="0" fillId="4" borderId="0" xfId="0" applyFill="1" applyAlignment="1">
      <alignment horizontal="left"/>
    </xf>
    <xf numFmtId="0" fontId="0" fillId="6" borderId="1" xfId="0" applyFill="1" applyBorder="1"/>
    <xf numFmtId="164" fontId="0" fillId="6" borderId="1" xfId="0" applyNumberFormat="1" applyFill="1" applyBorder="1"/>
    <xf numFmtId="164" fontId="0" fillId="6" borderId="2" xfId="0" applyNumberFormat="1" applyFill="1" applyBorder="1"/>
    <xf numFmtId="0" fontId="2" fillId="3" borderId="0" xfId="0" applyFont="1" applyFill="1" applyAlignment="1">
      <alignment horizontal="left"/>
    </xf>
    <xf numFmtId="164" fontId="0" fillId="0" borderId="1" xfId="0" applyNumberFormat="1" applyBorder="1"/>
    <xf numFmtId="0" fontId="0" fillId="2" borderId="0" xfId="0" applyFill="1" applyAlignment="1">
      <alignment vertical="top" wrapText="1"/>
    </xf>
    <xf numFmtId="0" fontId="1" fillId="2" borderId="0" xfId="0" applyFont="1" applyFill="1" applyAlignment="1">
      <alignment vertical="top"/>
    </xf>
    <xf numFmtId="0" fontId="0" fillId="2" borderId="0" xfId="0" applyFont="1" applyFill="1" applyAlignment="1">
      <alignment horizontal="center"/>
    </xf>
    <xf numFmtId="165" fontId="0" fillId="2" borderId="1" xfId="0" applyNumberFormat="1" applyFill="1" applyBorder="1"/>
    <xf numFmtId="0" fontId="0" fillId="4" borderId="0" xfId="0" applyFill="1" applyAlignment="1">
      <alignment horizontal="left" vertical="top" wrapText="1"/>
    </xf>
    <xf numFmtId="0" fontId="2" fillId="3" borderId="0" xfId="0" applyFont="1" applyFill="1" applyAlignment="1">
      <alignment horizontal="left"/>
    </xf>
    <xf numFmtId="0" fontId="3" fillId="5" borderId="0" xfId="0" applyFont="1" applyFill="1" applyAlignment="1">
      <alignment horizontal="left"/>
    </xf>
    <xf numFmtId="0" fontId="0" fillId="4" borderId="0" xfId="0" applyFill="1" applyAlignment="1">
      <alignment horizontal="left"/>
    </xf>
    <xf numFmtId="0" fontId="0" fillId="2" borderId="0" xfId="0" applyFill="1" applyAlignment="1">
      <alignment horizontal="left"/>
    </xf>
    <xf numFmtId="0" fontId="8" fillId="2" borderId="0" xfId="0" applyFont="1" applyFill="1" applyAlignment="1">
      <alignment horizontal="center"/>
    </xf>
    <xf numFmtId="0" fontId="2" fillId="2" borderId="0" xfId="0" applyFont="1" applyFill="1" applyAlignment="1">
      <alignment horizontal="left"/>
    </xf>
    <xf numFmtId="0" fontId="0" fillId="4" borderId="0" xfId="0" applyFont="1" applyFill="1" applyAlignment="1">
      <alignment horizontal="center"/>
    </xf>
    <xf numFmtId="0" fontId="0" fillId="4" borderId="0" xfId="0" applyFont="1" applyFill="1" applyAlignment="1">
      <alignment horizontal="left" wrapText="1"/>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2</xdr:col>
      <xdr:colOff>238125</xdr:colOff>
      <xdr:row>11</xdr:row>
      <xdr:rowOff>0</xdr:rowOff>
    </xdr:from>
    <xdr:ext cx="505716" cy="175369"/>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E2C3CB7A-4F27-4161-A59F-8E1ECE429509}"/>
                </a:ext>
              </a:extLst>
            </xdr:cNvPr>
            <xdr:cNvSpPr txBox="1"/>
          </xdr:nvSpPr>
          <xdr:spPr>
            <a:xfrm>
              <a:off x="685800" y="2724150"/>
              <a:ext cx="50571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b="0" i="1">
                            <a:latin typeface="Cambria Math" panose="02040503050406030204" pitchFamily="18" charset="0"/>
                          </a:rPr>
                        </m:ctrlPr>
                      </m:sSupPr>
                      <m:e>
                        <m:r>
                          <a:rPr lang="es-ES" sz="1100" b="0" i="1">
                            <a:latin typeface="Cambria Math" panose="02040503050406030204" pitchFamily="18" charset="0"/>
                          </a:rPr>
                          <m:t>𝑥</m:t>
                        </m:r>
                      </m:e>
                      <m:sup>
                        <m:r>
                          <a:rPr lang="es-ES" sz="1100" b="0" i="1">
                            <a:latin typeface="Cambria Math" panose="02040503050406030204" pitchFamily="18" charset="0"/>
                          </a:rPr>
                          <m:t>2</m:t>
                        </m:r>
                      </m:sup>
                    </m:sSup>
                    <m:r>
                      <a:rPr lang="es-ES" sz="1100" b="0" i="1">
                        <a:latin typeface="Cambria Math" panose="02040503050406030204" pitchFamily="18" charset="0"/>
                      </a:rPr>
                      <m:t>+2</m:t>
                    </m:r>
                    <m:r>
                      <a:rPr lang="es-ES" sz="1100" b="0" i="1">
                        <a:latin typeface="Cambria Math" panose="02040503050406030204" pitchFamily="18" charset="0"/>
                      </a:rPr>
                      <m:t>𝑥</m:t>
                    </m:r>
                  </m:oMath>
                </m:oMathPara>
              </a14:m>
              <a:endParaRPr lang="es-ES" sz="1100" b="0"/>
            </a:p>
          </xdr:txBody>
        </xdr:sp>
      </mc:Choice>
      <mc:Fallback xmlns="">
        <xdr:sp macro="" textlink="">
          <xdr:nvSpPr>
            <xdr:cNvPr id="2" name="TextBox 1">
              <a:extLst>
                <a:ext uri="{FF2B5EF4-FFF2-40B4-BE49-F238E27FC236}">
                  <a16:creationId xmlns:a16="http://schemas.microsoft.com/office/drawing/2014/main" id="{E2C3CB7A-4F27-4161-A59F-8E1ECE429509}"/>
                </a:ext>
              </a:extLst>
            </xdr:cNvPr>
            <xdr:cNvSpPr txBox="1"/>
          </xdr:nvSpPr>
          <xdr:spPr>
            <a:xfrm>
              <a:off x="685800" y="2724150"/>
              <a:ext cx="50571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ES" sz="1100" b="0" i="0">
                  <a:latin typeface="Cambria Math" panose="02040503050406030204" pitchFamily="18" charset="0"/>
                </a:rPr>
                <a:t>𝑥^2+2𝑥</a:t>
              </a:r>
              <a:endParaRPr lang="es-ES" sz="1100" b="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2</xdr:col>
      <xdr:colOff>238125</xdr:colOff>
      <xdr:row>11</xdr:row>
      <xdr:rowOff>0</xdr:rowOff>
    </xdr:from>
    <xdr:ext cx="505716" cy="175369"/>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A1F2B1DA-634B-4992-AEC2-43CD52CEC993}"/>
                </a:ext>
              </a:extLst>
            </xdr:cNvPr>
            <xdr:cNvSpPr txBox="1"/>
          </xdr:nvSpPr>
          <xdr:spPr>
            <a:xfrm>
              <a:off x="685800" y="2724150"/>
              <a:ext cx="50571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s-ES" sz="1100" b="0" i="1">
                            <a:latin typeface="Cambria Math" panose="02040503050406030204" pitchFamily="18" charset="0"/>
                          </a:rPr>
                        </m:ctrlPr>
                      </m:sSupPr>
                      <m:e>
                        <m:r>
                          <a:rPr lang="es-ES" sz="1100" b="0" i="1">
                            <a:latin typeface="Cambria Math" panose="02040503050406030204" pitchFamily="18" charset="0"/>
                          </a:rPr>
                          <m:t>𝑥</m:t>
                        </m:r>
                      </m:e>
                      <m:sup>
                        <m:r>
                          <a:rPr lang="es-ES" sz="1100" b="0" i="1">
                            <a:latin typeface="Cambria Math" panose="02040503050406030204" pitchFamily="18" charset="0"/>
                          </a:rPr>
                          <m:t>2</m:t>
                        </m:r>
                      </m:sup>
                    </m:sSup>
                    <m:r>
                      <a:rPr lang="es-ES" sz="1100" b="0" i="1">
                        <a:latin typeface="Cambria Math" panose="02040503050406030204" pitchFamily="18" charset="0"/>
                      </a:rPr>
                      <m:t>+2</m:t>
                    </m:r>
                    <m:r>
                      <a:rPr lang="es-ES" sz="1100" b="0" i="1">
                        <a:latin typeface="Cambria Math" panose="02040503050406030204" pitchFamily="18" charset="0"/>
                      </a:rPr>
                      <m:t>𝑥</m:t>
                    </m:r>
                  </m:oMath>
                </m:oMathPara>
              </a14:m>
              <a:endParaRPr lang="es-ES" sz="1100" b="0"/>
            </a:p>
          </xdr:txBody>
        </xdr:sp>
      </mc:Choice>
      <mc:Fallback xmlns="">
        <xdr:sp macro="" textlink="">
          <xdr:nvSpPr>
            <xdr:cNvPr id="2" name="TextBox 1">
              <a:extLst>
                <a:ext uri="{FF2B5EF4-FFF2-40B4-BE49-F238E27FC236}">
                  <a16:creationId xmlns:a16="http://schemas.microsoft.com/office/drawing/2014/main" id="{A1F2B1DA-634B-4992-AEC2-43CD52CEC993}"/>
                </a:ext>
              </a:extLst>
            </xdr:cNvPr>
            <xdr:cNvSpPr txBox="1"/>
          </xdr:nvSpPr>
          <xdr:spPr>
            <a:xfrm>
              <a:off x="685800" y="2724150"/>
              <a:ext cx="50571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ES" sz="1100" b="0" i="0">
                  <a:latin typeface="Cambria Math" panose="02040503050406030204" pitchFamily="18" charset="0"/>
                </a:rPr>
                <a:t>𝑥^2+2𝑥</a:t>
              </a:r>
              <a:endParaRPr lang="es-ES" sz="1100" b="0"/>
            </a:p>
          </xdr:txBody>
        </xdr:sp>
      </mc:Fallback>
    </mc:AlternateContent>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R30"/>
  <sheetViews>
    <sheetView tabSelected="1" zoomScaleNormal="100" workbookViewId="0">
      <selection activeCell="B1" sqref="B1:G1"/>
    </sheetView>
  </sheetViews>
  <sheetFormatPr defaultColWidth="11.42578125" defaultRowHeight="15" x14ac:dyDescent="0.25"/>
  <cols>
    <col min="1" max="1" width="3.140625" style="1" customWidth="1"/>
    <col min="2" max="2" width="3.5703125" style="1" customWidth="1"/>
    <col min="3" max="3" width="11.7109375" style="1" customWidth="1"/>
    <col min="4" max="4" width="8.85546875" style="1" bestFit="1" customWidth="1"/>
    <col min="5" max="5" width="6.42578125" style="1" customWidth="1"/>
    <col min="6" max="6" width="11.42578125" style="1"/>
    <col min="7" max="7" width="13.7109375" style="1" customWidth="1"/>
    <col min="8" max="8" width="14.42578125" style="1" customWidth="1"/>
    <col min="9" max="9" width="9.42578125" style="1" bestFit="1" customWidth="1"/>
    <col min="10" max="10" width="8.28515625" style="1" bestFit="1" customWidth="1"/>
    <col min="11" max="11" width="7.28515625" style="1" bestFit="1" customWidth="1"/>
    <col min="12" max="12" width="8.85546875" style="1" bestFit="1" customWidth="1"/>
    <col min="13" max="13" width="11.28515625" style="1" bestFit="1" customWidth="1"/>
    <col min="14" max="15" width="7.5703125" style="1" bestFit="1" customWidth="1"/>
    <col min="16" max="16" width="13.85546875" style="1" bestFit="1" customWidth="1"/>
    <col min="17" max="17" width="11.42578125" style="1"/>
    <col min="18" max="18" width="6.5703125" style="1" customWidth="1"/>
    <col min="19" max="16384" width="11.42578125" style="1"/>
  </cols>
  <sheetData>
    <row r="1" spans="2:18" ht="33.75" x14ac:dyDescent="0.5">
      <c r="B1" s="30" t="s">
        <v>10</v>
      </c>
      <c r="C1" s="30"/>
      <c r="D1" s="30"/>
      <c r="E1" s="30"/>
      <c r="F1" s="30"/>
      <c r="G1" s="30"/>
      <c r="H1" s="34" t="s">
        <v>64</v>
      </c>
      <c r="I1" s="34"/>
      <c r="J1" s="34"/>
      <c r="K1" s="34"/>
    </row>
    <row r="2" spans="2:18" ht="21" x14ac:dyDescent="0.35">
      <c r="C2" s="29" t="s">
        <v>11</v>
      </c>
      <c r="D2" s="29"/>
      <c r="E2" s="29"/>
      <c r="M2" s="29" t="s">
        <v>15</v>
      </c>
      <c r="N2" s="29"/>
      <c r="O2" s="29"/>
      <c r="P2" s="29"/>
    </row>
    <row r="3" spans="2:18" ht="29.25" customHeight="1" x14ac:dyDescent="0.25">
      <c r="C3" s="28" t="s">
        <v>12</v>
      </c>
      <c r="D3" s="28"/>
      <c r="E3" s="28"/>
      <c r="F3" s="28"/>
      <c r="G3" s="28"/>
      <c r="H3" s="28"/>
      <c r="I3" s="28"/>
      <c r="J3" s="28"/>
      <c r="K3" s="28"/>
      <c r="M3" s="4" t="s">
        <v>16</v>
      </c>
      <c r="N3" s="28" t="s">
        <v>24</v>
      </c>
      <c r="O3" s="28"/>
      <c r="P3" s="28"/>
      <c r="Q3" s="28"/>
      <c r="R3" s="28"/>
    </row>
    <row r="4" spans="2:18" x14ac:dyDescent="0.25">
      <c r="C4" s="28"/>
      <c r="D4" s="28"/>
      <c r="E4" s="28"/>
      <c r="F4" s="28"/>
      <c r="G4" s="28"/>
      <c r="H4" s="28"/>
      <c r="I4" s="28"/>
      <c r="J4" s="28"/>
      <c r="K4" s="28"/>
      <c r="M4" s="5" t="s">
        <v>17</v>
      </c>
      <c r="N4" s="28" t="s">
        <v>18</v>
      </c>
      <c r="O4" s="28"/>
      <c r="P4" s="28"/>
      <c r="Q4" s="28"/>
      <c r="R4" s="28"/>
    </row>
    <row r="5" spans="2:18" ht="16.5" customHeight="1" x14ac:dyDescent="0.25">
      <c r="C5" s="28"/>
      <c r="D5" s="28"/>
      <c r="E5" s="28"/>
      <c r="F5" s="28"/>
      <c r="G5" s="28"/>
      <c r="H5" s="28"/>
      <c r="I5" s="28"/>
      <c r="J5" s="28"/>
      <c r="K5" s="28"/>
      <c r="M5" s="4" t="s">
        <v>19</v>
      </c>
      <c r="N5" s="28" t="s">
        <v>22</v>
      </c>
      <c r="O5" s="28"/>
      <c r="P5" s="28"/>
      <c r="Q5" s="28"/>
      <c r="R5" s="3"/>
    </row>
    <row r="6" spans="2:18" ht="18" customHeight="1" x14ac:dyDescent="0.25">
      <c r="C6" s="28"/>
      <c r="D6" s="28"/>
      <c r="E6" s="28"/>
      <c r="F6" s="28"/>
      <c r="G6" s="28"/>
      <c r="H6" s="28"/>
      <c r="I6" s="28"/>
      <c r="J6" s="28"/>
      <c r="K6" s="28"/>
      <c r="M6" s="4" t="s">
        <v>20</v>
      </c>
      <c r="N6" s="28" t="s">
        <v>21</v>
      </c>
      <c r="O6" s="28"/>
      <c r="P6" s="28"/>
      <c r="Q6" s="28"/>
      <c r="R6" s="3"/>
    </row>
    <row r="7" spans="2:18" x14ac:dyDescent="0.25">
      <c r="C7" s="28"/>
      <c r="D7" s="28"/>
      <c r="E7" s="28"/>
      <c r="F7" s="28"/>
      <c r="G7" s="28"/>
      <c r="H7" s="28"/>
      <c r="I7" s="28"/>
      <c r="J7" s="28"/>
      <c r="K7" s="28"/>
      <c r="M7" s="5" t="s">
        <v>31</v>
      </c>
      <c r="N7" s="31" t="s">
        <v>32</v>
      </c>
      <c r="O7" s="31"/>
      <c r="P7" s="31"/>
      <c r="Q7" s="31"/>
      <c r="R7" s="31"/>
    </row>
    <row r="8" spans="2:18" x14ac:dyDescent="0.25">
      <c r="C8" s="28"/>
      <c r="D8" s="28"/>
      <c r="E8" s="28"/>
      <c r="F8" s="28"/>
      <c r="G8" s="28"/>
      <c r="H8" s="28"/>
      <c r="I8" s="28"/>
      <c r="J8" s="28"/>
      <c r="K8" s="28"/>
    </row>
    <row r="10" spans="2:18" ht="21" x14ac:dyDescent="0.35">
      <c r="C10" s="7" t="s">
        <v>23</v>
      </c>
      <c r="D10" s="7"/>
      <c r="E10" s="8"/>
    </row>
    <row r="11" spans="2:18" x14ac:dyDescent="0.25">
      <c r="C11" s="11" t="s">
        <v>25</v>
      </c>
      <c r="D11" s="11"/>
      <c r="E11" s="11"/>
      <c r="F11" s="11"/>
      <c r="G11" s="11"/>
      <c r="H11" s="11"/>
      <c r="I11" s="11"/>
      <c r="J11" s="12"/>
      <c r="M11" s="33" t="s">
        <v>63</v>
      </c>
      <c r="N11" s="33"/>
      <c r="O11" s="33"/>
      <c r="P11" s="33"/>
      <c r="Q11" s="33"/>
      <c r="R11" s="33"/>
    </row>
    <row r="12" spans="2:18" x14ac:dyDescent="0.25">
      <c r="C12" s="6"/>
    </row>
    <row r="13" spans="2:18" x14ac:dyDescent="0.25">
      <c r="C13" s="2"/>
    </row>
    <row r="14" spans="2:18" x14ac:dyDescent="0.25">
      <c r="C14" s="5" t="s">
        <v>26</v>
      </c>
      <c r="D14" s="5" t="s">
        <v>13</v>
      </c>
      <c r="I14" s="17" t="s">
        <v>27</v>
      </c>
      <c r="J14" s="17" t="s">
        <v>6</v>
      </c>
      <c r="K14" s="17" t="s">
        <v>1</v>
      </c>
      <c r="L14" s="17" t="s">
        <v>3</v>
      </c>
      <c r="M14" s="17" t="s">
        <v>0</v>
      </c>
      <c r="N14" s="17" t="s">
        <v>2</v>
      </c>
      <c r="O14" s="17" t="s">
        <v>4</v>
      </c>
      <c r="P14" s="17" t="s">
        <v>28</v>
      </c>
      <c r="Q14" s="17" t="s">
        <v>29</v>
      </c>
    </row>
    <row r="15" spans="2:18" x14ac:dyDescent="0.25">
      <c r="C15" s="9" t="s">
        <v>14</v>
      </c>
      <c r="D15" s="10">
        <v>1E-3</v>
      </c>
      <c r="F15" s="32" t="str">
        <f>CONCATENATE("Establecemos una holgura de de ",eps)</f>
        <v>Establecemos una holgura de de 0,001</v>
      </c>
      <c r="G15" s="32"/>
      <c r="H15" s="32"/>
      <c r="I15" s="15">
        <v>0</v>
      </c>
      <c r="J15" s="16">
        <f>a0</f>
        <v>-10</v>
      </c>
      <c r="K15" s="16">
        <f>(J15+M15)/2-eps</f>
        <v>0.999</v>
      </c>
      <c r="L15" s="16">
        <f>(J15+M15)/2+eps</f>
        <v>1.0009999999999999</v>
      </c>
      <c r="M15" s="16">
        <f>b0</f>
        <v>12</v>
      </c>
      <c r="N15" s="16">
        <f t="shared" ref="N15:N27" si="0">Evaluar(ec,K15)</f>
        <v>2.9960010000000001</v>
      </c>
      <c r="O15" s="16">
        <f t="shared" ref="O15:O27" si="1">Evaluar(ec,L15)</f>
        <v>3.0040009999999997</v>
      </c>
      <c r="P15" s="16">
        <f>M15-J15</f>
        <v>22</v>
      </c>
      <c r="Q15" s="15" t="b">
        <f>P15&lt;l</f>
        <v>0</v>
      </c>
    </row>
    <row r="16" spans="2:18" x14ac:dyDescent="0.25">
      <c r="C16" s="10" t="s">
        <v>17</v>
      </c>
      <c r="D16" s="10">
        <v>0.01</v>
      </c>
      <c r="F16" s="32" t="str">
        <f>CONCATENATE("Establecemos una incertidumbre de ",l)</f>
        <v>Establecemos una incertidumbre de 0,01</v>
      </c>
      <c r="G16" s="32"/>
      <c r="H16" s="32"/>
      <c r="I16" s="10">
        <v>1</v>
      </c>
      <c r="J16" s="14">
        <f>IF(N15&lt;O15,J15,K15)</f>
        <v>-10</v>
      </c>
      <c r="K16" s="14">
        <f>(J16+M16)/2-eps</f>
        <v>-4.5005000000000006</v>
      </c>
      <c r="L16" s="14">
        <f>(J16+M16)/2+eps</f>
        <v>-4.4984999999999999</v>
      </c>
      <c r="M16" s="14">
        <f>IF(N15&lt;O15,L15,M15)</f>
        <v>1.0009999999999999</v>
      </c>
      <c r="N16" s="16">
        <f t="shared" si="0"/>
        <v>11.253500249999997</v>
      </c>
      <c r="O16" s="16">
        <f t="shared" si="1"/>
        <v>11.239502250000001</v>
      </c>
      <c r="P16" s="14">
        <f>M16-J16</f>
        <v>11.000999999999999</v>
      </c>
      <c r="Q16" s="10" t="b">
        <f>P16&lt;l</f>
        <v>0</v>
      </c>
    </row>
    <row r="17" spans="3:17" x14ac:dyDescent="0.25">
      <c r="C17" s="10" t="s">
        <v>19</v>
      </c>
      <c r="D17" s="10">
        <v>-10</v>
      </c>
      <c r="F17" s="32" t="str">
        <f>CONCATENATE("Buscamos en el intervalo [",a0,", ",b0,"]")</f>
        <v>Buscamos en el intervalo [-10, 12]</v>
      </c>
      <c r="G17" s="32"/>
      <c r="H17" s="32"/>
      <c r="I17" s="10">
        <v>2</v>
      </c>
      <c r="J17" s="14">
        <f>IF(N16&lt;O16,J16,K16)</f>
        <v>-4.5005000000000006</v>
      </c>
      <c r="K17" s="14">
        <f>(J17+M17)/2-eps</f>
        <v>-1.7507500000000003</v>
      </c>
      <c r="L17" s="14">
        <f>(J17+M17)/2+eps</f>
        <v>-1.7487500000000005</v>
      </c>
      <c r="M17" s="14">
        <f t="shared" ref="M17:M21" si="2">IF(N16&lt;O16,L16,M16)</f>
        <v>1.0009999999999999</v>
      </c>
      <c r="N17" s="16">
        <f t="shared" si="0"/>
        <v>-0.43637443750000005</v>
      </c>
      <c r="O17" s="16">
        <f t="shared" si="1"/>
        <v>-0.43937343750000002</v>
      </c>
      <c r="P17" s="14">
        <f>M17-J17</f>
        <v>5.5015000000000001</v>
      </c>
      <c r="Q17" s="10" t="b">
        <f>P17&lt;l</f>
        <v>0</v>
      </c>
    </row>
    <row r="18" spans="3:17" x14ac:dyDescent="0.25">
      <c r="C18" s="10" t="s">
        <v>20</v>
      </c>
      <c r="D18" s="10">
        <v>12</v>
      </c>
      <c r="I18" s="10">
        <v>3</v>
      </c>
      <c r="J18" s="14">
        <f>IF(N17&lt;O17,J17,K17)</f>
        <v>-1.7507500000000003</v>
      </c>
      <c r="K18" s="14">
        <f>(J18+M18)/2-eps</f>
        <v>-0.37587500000000018</v>
      </c>
      <c r="L18" s="14">
        <f>(J18+M18)/2+eps</f>
        <v>-0.37387500000000018</v>
      </c>
      <c r="M18" s="14">
        <f t="shared" si="2"/>
        <v>1.0009999999999999</v>
      </c>
      <c r="N18" s="16">
        <f t="shared" si="0"/>
        <v>-0.61046798437500005</v>
      </c>
      <c r="O18" s="16">
        <f t="shared" si="1"/>
        <v>-0.60796748437500003</v>
      </c>
      <c r="P18" s="14">
        <f>M18-J18</f>
        <v>2.7517500000000004</v>
      </c>
      <c r="Q18" s="10" t="b">
        <f>P18&lt;l</f>
        <v>0</v>
      </c>
    </row>
    <row r="19" spans="3:17" x14ac:dyDescent="0.25">
      <c r="C19" s="10" t="s">
        <v>31</v>
      </c>
      <c r="D19" s="10" t="s">
        <v>30</v>
      </c>
      <c r="F19" s="1" t="s">
        <v>33</v>
      </c>
      <c r="I19" s="10">
        <v>4</v>
      </c>
      <c r="J19" s="14">
        <f>IF(N18&lt;O18,J18,K18)</f>
        <v>-1.7507500000000003</v>
      </c>
      <c r="K19" s="14">
        <f t="shared" ref="K19:K27" si="3">(J19+M19)/2-eps</f>
        <v>-1.0633125000000001</v>
      </c>
      <c r="L19" s="14">
        <f t="shared" ref="L19:L27" si="4">(J19+M19)/2+eps</f>
        <v>-1.0613125000000003</v>
      </c>
      <c r="M19" s="14">
        <f>IF(N18&lt;O18,L18,M18)</f>
        <v>-0.37387500000000018</v>
      </c>
      <c r="N19" s="16">
        <f t="shared" si="0"/>
        <v>-0.99599152734375007</v>
      </c>
      <c r="O19" s="16">
        <f t="shared" si="1"/>
        <v>-0.99624077734375005</v>
      </c>
      <c r="P19" s="14">
        <f t="shared" ref="P19:P21" si="5">M19-J19</f>
        <v>1.3768750000000001</v>
      </c>
      <c r="Q19" s="10" t="b">
        <f t="shared" ref="Q19:Q27" si="6">P19&lt;l</f>
        <v>0</v>
      </c>
    </row>
    <row r="20" spans="3:17" x14ac:dyDescent="0.25">
      <c r="I20" s="10">
        <v>5</v>
      </c>
      <c r="J20" s="14">
        <f t="shared" ref="J20:J21" si="7">IF(N19&lt;O19,J19,K19)</f>
        <v>-1.0633125000000001</v>
      </c>
      <c r="K20" s="14">
        <f t="shared" si="3"/>
        <v>-0.71959375000000014</v>
      </c>
      <c r="L20" s="14">
        <f t="shared" si="4"/>
        <v>-0.71759375000000014</v>
      </c>
      <c r="M20" s="14">
        <f t="shared" si="2"/>
        <v>-0.37387500000000018</v>
      </c>
      <c r="N20" s="16">
        <f t="shared" si="0"/>
        <v>-0.92137233496093751</v>
      </c>
      <c r="O20" s="16">
        <f t="shared" si="1"/>
        <v>-0.92024670996093749</v>
      </c>
      <c r="P20" s="14">
        <f t="shared" si="5"/>
        <v>0.68943749999999993</v>
      </c>
      <c r="Q20" s="10" t="b">
        <f t="shared" si="6"/>
        <v>0</v>
      </c>
    </row>
    <row r="21" spans="3:17" x14ac:dyDescent="0.25">
      <c r="I21" s="10">
        <v>6</v>
      </c>
      <c r="J21" s="14">
        <f t="shared" si="7"/>
        <v>-1.0633125000000001</v>
      </c>
      <c r="K21" s="14">
        <f t="shared" si="3"/>
        <v>-0.89145312500000007</v>
      </c>
      <c r="L21" s="14">
        <f t="shared" si="4"/>
        <v>-0.88945312500000007</v>
      </c>
      <c r="M21" s="14">
        <f t="shared" si="2"/>
        <v>-0.71759375000000014</v>
      </c>
      <c r="N21" s="16">
        <f t="shared" si="0"/>
        <v>-0.9882175759277344</v>
      </c>
      <c r="O21" s="16">
        <f t="shared" si="1"/>
        <v>-0.98777938842773438</v>
      </c>
      <c r="P21" s="14">
        <f t="shared" si="5"/>
        <v>0.34571874999999996</v>
      </c>
      <c r="Q21" s="10" t="b">
        <f t="shared" si="6"/>
        <v>0</v>
      </c>
    </row>
    <row r="22" spans="3:17" x14ac:dyDescent="0.25">
      <c r="C22" s="28" t="s">
        <v>35</v>
      </c>
      <c r="D22" s="28"/>
      <c r="E22" s="28"/>
      <c r="F22" s="28"/>
      <c r="G22" s="28"/>
      <c r="I22" s="10">
        <v>7</v>
      </c>
      <c r="J22" s="14">
        <f t="shared" ref="J22:J27" si="8">IF(N21&lt;O21,J21,K21)</f>
        <v>-1.0633125000000001</v>
      </c>
      <c r="K22" s="14">
        <f t="shared" si="3"/>
        <v>-0.97738281250000003</v>
      </c>
      <c r="L22" s="14">
        <f t="shared" si="4"/>
        <v>-0.97538281250000003</v>
      </c>
      <c r="M22" s="14">
        <f t="shared" ref="M22:M27" si="9">IF(N21&lt;O21,L21,M21)</f>
        <v>-0.88945312500000007</v>
      </c>
      <c r="N22" s="16">
        <f t="shared" si="0"/>
        <v>-0.99948846282958981</v>
      </c>
      <c r="O22" s="16">
        <f t="shared" si="1"/>
        <v>-0.99939399407958984</v>
      </c>
      <c r="P22" s="14">
        <f t="shared" ref="P22:P27" si="10">M22-J22</f>
        <v>0.17385937500000004</v>
      </c>
      <c r="Q22" s="10" t="b">
        <f t="shared" si="6"/>
        <v>0</v>
      </c>
    </row>
    <row r="23" spans="3:17" x14ac:dyDescent="0.25">
      <c r="C23" s="28"/>
      <c r="D23" s="28"/>
      <c r="E23" s="28"/>
      <c r="F23" s="28"/>
      <c r="G23" s="28"/>
      <c r="I23" s="10">
        <v>8</v>
      </c>
      <c r="J23" s="14">
        <f t="shared" si="8"/>
        <v>-1.0633125000000001</v>
      </c>
      <c r="K23" s="14">
        <f t="shared" si="3"/>
        <v>-1.02034765625</v>
      </c>
      <c r="L23" s="14">
        <f t="shared" si="4"/>
        <v>-1.0183476562500002</v>
      </c>
      <c r="M23" s="14">
        <f t="shared" si="9"/>
        <v>-0.97538281250000003</v>
      </c>
      <c r="N23" s="16">
        <f t="shared" si="0"/>
        <v>-0.99958597288513173</v>
      </c>
      <c r="O23" s="16">
        <f t="shared" si="1"/>
        <v>-0.99966336351013174</v>
      </c>
      <c r="P23" s="14">
        <f t="shared" si="10"/>
        <v>8.7929687500000075E-2</v>
      </c>
      <c r="Q23" s="10" t="b">
        <f t="shared" si="6"/>
        <v>0</v>
      </c>
    </row>
    <row r="24" spans="3:17" x14ac:dyDescent="0.25">
      <c r="C24" s="28"/>
      <c r="D24" s="28"/>
      <c r="E24" s="28"/>
      <c r="F24" s="28"/>
      <c r="G24" s="28"/>
      <c r="I24" s="10">
        <v>9</v>
      </c>
      <c r="J24" s="14">
        <f t="shared" si="8"/>
        <v>-1.02034765625</v>
      </c>
      <c r="K24" s="14">
        <f t="shared" si="3"/>
        <v>-0.99886523437500008</v>
      </c>
      <c r="L24" s="14">
        <f t="shared" si="4"/>
        <v>-0.99686523437500008</v>
      </c>
      <c r="M24" s="14">
        <f t="shared" si="9"/>
        <v>-0.97538281250000003</v>
      </c>
      <c r="N24" s="16">
        <f t="shared" si="0"/>
        <v>-0.99999871230697635</v>
      </c>
      <c r="O24" s="16">
        <f t="shared" si="1"/>
        <v>-0.99999017324447637</v>
      </c>
      <c r="P24" s="14">
        <f t="shared" si="10"/>
        <v>4.4964843749999983E-2</v>
      </c>
      <c r="Q24" s="10" t="b">
        <f t="shared" si="6"/>
        <v>0</v>
      </c>
    </row>
    <row r="25" spans="3:17" x14ac:dyDescent="0.25">
      <c r="C25" s="28"/>
      <c r="D25" s="28"/>
      <c r="E25" s="28"/>
      <c r="F25" s="28"/>
      <c r="G25" s="28"/>
      <c r="I25" s="10">
        <v>10</v>
      </c>
      <c r="J25" s="14">
        <f t="shared" si="8"/>
        <v>-1.02034765625</v>
      </c>
      <c r="K25" s="14">
        <f t="shared" si="3"/>
        <v>-1.0096064453125</v>
      </c>
      <c r="L25" s="14">
        <f t="shared" si="4"/>
        <v>-1.0076064453125002</v>
      </c>
      <c r="M25" s="14">
        <f t="shared" si="9"/>
        <v>-0.99686523437500008</v>
      </c>
      <c r="N25" s="16">
        <f t="shared" si="0"/>
        <v>-0.99990771620845798</v>
      </c>
      <c r="O25" s="16">
        <f t="shared" si="1"/>
        <v>-0.99994214198970788</v>
      </c>
      <c r="P25" s="14">
        <f t="shared" si="10"/>
        <v>2.3482421874999937E-2</v>
      </c>
      <c r="Q25" s="10" t="b">
        <f t="shared" si="6"/>
        <v>0</v>
      </c>
    </row>
    <row r="26" spans="3:17" x14ac:dyDescent="0.25">
      <c r="I26" s="10">
        <v>11</v>
      </c>
      <c r="J26" s="14">
        <f t="shared" si="8"/>
        <v>-1.0096064453125</v>
      </c>
      <c r="K26" s="14">
        <f t="shared" si="3"/>
        <v>-1.0042358398437499</v>
      </c>
      <c r="L26" s="14">
        <f t="shared" si="4"/>
        <v>-1.0022358398437501</v>
      </c>
      <c r="M26" s="14">
        <f t="shared" si="9"/>
        <v>-0.99686523437500008</v>
      </c>
      <c r="N26" s="16">
        <f t="shared" si="0"/>
        <v>-0.99998205766081805</v>
      </c>
      <c r="O26" s="16">
        <f t="shared" si="1"/>
        <v>-0.99999500102019301</v>
      </c>
      <c r="P26" s="14">
        <f t="shared" si="10"/>
        <v>1.2741210937499914E-2</v>
      </c>
      <c r="Q26" s="10" t="b">
        <f t="shared" si="6"/>
        <v>0</v>
      </c>
    </row>
    <row r="27" spans="3:17" x14ac:dyDescent="0.25">
      <c r="C27" s="28" t="s">
        <v>36</v>
      </c>
      <c r="D27" s="28"/>
      <c r="E27" s="28"/>
      <c r="F27" s="28"/>
      <c r="G27" s="28"/>
      <c r="I27" s="19">
        <v>12</v>
      </c>
      <c r="J27" s="20">
        <f t="shared" si="8"/>
        <v>-1.0042358398437499</v>
      </c>
      <c r="K27" s="20">
        <f t="shared" si="3"/>
        <v>-1.0015505371093749</v>
      </c>
      <c r="L27" s="20">
        <f t="shared" si="4"/>
        <v>-0.99955053710937503</v>
      </c>
      <c r="M27" s="20">
        <f t="shared" si="9"/>
        <v>-0.99686523437500008</v>
      </c>
      <c r="N27" s="21">
        <f t="shared" si="0"/>
        <v>-0.99999759583467251</v>
      </c>
      <c r="O27" s="21">
        <f t="shared" si="1"/>
        <v>-0.99999979798311001</v>
      </c>
      <c r="P27" s="20">
        <f t="shared" si="10"/>
        <v>7.3706054687497913E-3</v>
      </c>
      <c r="Q27" s="19" t="b">
        <f t="shared" si="6"/>
        <v>1</v>
      </c>
    </row>
    <row r="28" spans="3:17" x14ac:dyDescent="0.25">
      <c r="C28" s="28"/>
      <c r="D28" s="28"/>
      <c r="E28" s="28"/>
      <c r="F28" s="28"/>
      <c r="G28" s="28"/>
    </row>
    <row r="29" spans="3:17" x14ac:dyDescent="0.25">
      <c r="C29" s="28"/>
      <c r="D29" s="28"/>
      <c r="E29" s="28"/>
      <c r="F29" s="28"/>
      <c r="G29" s="28"/>
    </row>
    <row r="30" spans="3:17" x14ac:dyDescent="0.25">
      <c r="C30" s="28"/>
      <c r="D30" s="28"/>
      <c r="E30" s="28"/>
      <c r="F30" s="28"/>
      <c r="G30" s="28"/>
    </row>
  </sheetData>
  <mergeCells count="16">
    <mergeCell ref="C22:G25"/>
    <mergeCell ref="C27:G30"/>
    <mergeCell ref="M2:P2"/>
    <mergeCell ref="B1:G1"/>
    <mergeCell ref="C3:K8"/>
    <mergeCell ref="N7:R7"/>
    <mergeCell ref="F17:H17"/>
    <mergeCell ref="C2:E2"/>
    <mergeCell ref="F15:H15"/>
    <mergeCell ref="F16:H16"/>
    <mergeCell ref="N4:R4"/>
    <mergeCell ref="N3:R3"/>
    <mergeCell ref="N5:Q5"/>
    <mergeCell ref="N6:Q6"/>
    <mergeCell ref="M11:R11"/>
    <mergeCell ref="H1:K1"/>
  </mergeCell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R33"/>
  <sheetViews>
    <sheetView workbookViewId="0">
      <selection activeCell="H1" sqref="H1:K1"/>
    </sheetView>
  </sheetViews>
  <sheetFormatPr defaultColWidth="11.42578125" defaultRowHeight="15" x14ac:dyDescent="0.25"/>
  <cols>
    <col min="1" max="1" width="3.140625" style="1" customWidth="1"/>
    <col min="2" max="2" width="3.5703125" style="1" customWidth="1"/>
    <col min="3" max="3" width="11.7109375" style="1" customWidth="1"/>
    <col min="4" max="4" width="8.85546875" style="1" customWidth="1"/>
    <col min="5" max="5" width="6.42578125" style="1" customWidth="1"/>
    <col min="6" max="6" width="11.42578125" style="1"/>
    <col min="7" max="7" width="13.7109375" style="1" customWidth="1"/>
    <col min="8" max="8" width="14.42578125" style="1" customWidth="1"/>
    <col min="9" max="9" width="9.42578125" style="1" customWidth="1"/>
    <col min="10" max="10" width="8.28515625" style="1" customWidth="1"/>
    <col min="11" max="11" width="11.28515625" style="1" bestFit="1" customWidth="1"/>
    <col min="12" max="12" width="8.85546875" style="1" customWidth="1"/>
    <col min="13" max="13" width="11.28515625" style="1" customWidth="1"/>
    <col min="14" max="15" width="7.5703125" style="1" customWidth="1"/>
    <col min="16" max="16" width="13.85546875" style="1" customWidth="1"/>
    <col min="17" max="17" width="11.42578125" style="1"/>
    <col min="18" max="18" width="6.5703125" style="1" customWidth="1"/>
    <col min="19" max="16384" width="11.42578125" style="1"/>
  </cols>
  <sheetData>
    <row r="1" spans="2:18" ht="33.75" x14ac:dyDescent="0.5">
      <c r="B1" s="30" t="s">
        <v>10</v>
      </c>
      <c r="C1" s="30"/>
      <c r="D1" s="30"/>
      <c r="E1" s="30"/>
      <c r="F1" s="30"/>
      <c r="G1" s="30"/>
      <c r="H1" s="34" t="s">
        <v>64</v>
      </c>
      <c r="I1" s="34"/>
      <c r="J1" s="34"/>
      <c r="K1" s="34"/>
    </row>
    <row r="2" spans="2:18" ht="21" x14ac:dyDescent="0.35">
      <c r="C2" s="29" t="s">
        <v>34</v>
      </c>
      <c r="D2" s="29"/>
      <c r="E2" s="29"/>
      <c r="M2" s="29" t="s">
        <v>15</v>
      </c>
      <c r="N2" s="29"/>
      <c r="O2" s="29"/>
    </row>
    <row r="3" spans="2:18" x14ac:dyDescent="0.25">
      <c r="C3" s="28" t="s">
        <v>37</v>
      </c>
      <c r="D3" s="28"/>
      <c r="E3" s="28"/>
      <c r="F3" s="28"/>
      <c r="G3" s="28"/>
      <c r="H3" s="28"/>
      <c r="I3" s="28"/>
      <c r="J3" s="28"/>
      <c r="K3" s="28"/>
      <c r="M3" s="4" t="s">
        <v>40</v>
      </c>
      <c r="N3" s="28" t="s">
        <v>39</v>
      </c>
      <c r="O3" s="28"/>
      <c r="P3" s="28"/>
      <c r="Q3" s="28"/>
      <c r="R3" s="28"/>
    </row>
    <row r="4" spans="2:18" x14ac:dyDescent="0.25">
      <c r="C4" s="28"/>
      <c r="D4" s="28"/>
      <c r="E4" s="28"/>
      <c r="F4" s="28"/>
      <c r="G4" s="28"/>
      <c r="H4" s="28"/>
      <c r="I4" s="28"/>
      <c r="J4" s="28"/>
      <c r="K4" s="28"/>
      <c r="M4" s="5" t="s">
        <v>17</v>
      </c>
      <c r="N4" s="28" t="s">
        <v>18</v>
      </c>
      <c r="O4" s="28"/>
      <c r="P4" s="28"/>
      <c r="Q4" s="28"/>
      <c r="R4" s="28"/>
    </row>
    <row r="5" spans="2:18" ht="16.5" customHeight="1" x14ac:dyDescent="0.25">
      <c r="C5" s="28"/>
      <c r="D5" s="28"/>
      <c r="E5" s="28"/>
      <c r="F5" s="28"/>
      <c r="G5" s="28"/>
      <c r="H5" s="28"/>
      <c r="I5" s="28"/>
      <c r="J5" s="28"/>
      <c r="K5" s="28"/>
      <c r="M5" s="4" t="s">
        <v>19</v>
      </c>
      <c r="N5" s="28" t="s">
        <v>22</v>
      </c>
      <c r="O5" s="28"/>
      <c r="P5" s="28"/>
      <c r="Q5" s="28"/>
      <c r="R5" s="3"/>
    </row>
    <row r="6" spans="2:18" ht="18" customHeight="1" x14ac:dyDescent="0.25">
      <c r="C6" s="28"/>
      <c r="D6" s="28"/>
      <c r="E6" s="28"/>
      <c r="F6" s="28"/>
      <c r="G6" s="28"/>
      <c r="H6" s="28"/>
      <c r="I6" s="28"/>
      <c r="J6" s="28"/>
      <c r="K6" s="28"/>
      <c r="M6" s="4" t="s">
        <v>20</v>
      </c>
      <c r="N6" s="28" t="s">
        <v>21</v>
      </c>
      <c r="O6" s="28"/>
      <c r="P6" s="28"/>
      <c r="Q6" s="28"/>
      <c r="R6" s="3"/>
    </row>
    <row r="7" spans="2:18" x14ac:dyDescent="0.25">
      <c r="C7" s="28"/>
      <c r="D7" s="28"/>
      <c r="E7" s="28"/>
      <c r="F7" s="28"/>
      <c r="G7" s="28"/>
      <c r="H7" s="28"/>
      <c r="I7" s="28"/>
      <c r="J7" s="28"/>
      <c r="K7" s="28"/>
      <c r="M7" s="5" t="s">
        <v>31</v>
      </c>
      <c r="N7" s="31" t="s">
        <v>32</v>
      </c>
      <c r="O7" s="31"/>
      <c r="P7" s="31"/>
      <c r="Q7" s="31"/>
      <c r="R7" s="31"/>
    </row>
    <row r="8" spans="2:18" x14ac:dyDescent="0.25">
      <c r="C8" s="28"/>
      <c r="D8" s="28"/>
      <c r="E8" s="28"/>
      <c r="F8" s="28"/>
      <c r="G8" s="28"/>
      <c r="H8" s="28"/>
      <c r="I8" s="28"/>
      <c r="J8" s="28"/>
      <c r="K8" s="28"/>
    </row>
    <row r="10" spans="2:18" ht="21" x14ac:dyDescent="0.35">
      <c r="C10" s="13" t="s">
        <v>23</v>
      </c>
      <c r="D10" s="13"/>
      <c r="E10" s="8"/>
    </row>
    <row r="11" spans="2:18" x14ac:dyDescent="0.25">
      <c r="C11" s="11" t="s">
        <v>25</v>
      </c>
      <c r="D11" s="11"/>
      <c r="E11" s="11"/>
      <c r="F11" s="11"/>
      <c r="G11" s="11"/>
      <c r="H11" s="11"/>
      <c r="I11" s="11"/>
      <c r="J11" s="18"/>
      <c r="M11" s="1" t="str">
        <f>ro</f>
        <v>ρ</v>
      </c>
    </row>
    <row r="12" spans="2:18" x14ac:dyDescent="0.25">
      <c r="C12" s="6"/>
    </row>
    <row r="13" spans="2:18" x14ac:dyDescent="0.25">
      <c r="C13" s="2"/>
    </row>
    <row r="14" spans="2:18" x14ac:dyDescent="0.25">
      <c r="C14" s="5" t="s">
        <v>26</v>
      </c>
      <c r="D14" s="5" t="s">
        <v>13</v>
      </c>
      <c r="I14" s="17" t="s">
        <v>27</v>
      </c>
      <c r="J14" s="17" t="s">
        <v>6</v>
      </c>
      <c r="K14" s="17" t="s">
        <v>7</v>
      </c>
      <c r="L14" s="17" t="s">
        <v>8</v>
      </c>
      <c r="M14" s="17" t="s">
        <v>9</v>
      </c>
      <c r="N14" s="17" t="s">
        <v>2</v>
      </c>
      <c r="O14" s="17" t="s">
        <v>4</v>
      </c>
      <c r="P14" s="17" t="s">
        <v>5</v>
      </c>
      <c r="Q14" s="17" t="s">
        <v>29</v>
      </c>
    </row>
    <row r="15" spans="2:18" x14ac:dyDescent="0.25">
      <c r="C15" s="9" t="s">
        <v>38</v>
      </c>
      <c r="D15" s="10">
        <v>0.38200000000000001</v>
      </c>
      <c r="F15" s="32" t="s">
        <v>41</v>
      </c>
      <c r="G15" s="32"/>
      <c r="H15" s="32"/>
      <c r="I15" s="15">
        <v>0</v>
      </c>
      <c r="J15" s="23">
        <f>a_0_g</f>
        <v>-10</v>
      </c>
      <c r="K15" s="23">
        <f t="shared" ref="K15:K28" si="0">J15+ro_value*(M15-J15)</f>
        <v>-1.5960000000000001</v>
      </c>
      <c r="L15" s="23">
        <f t="shared" ref="L15:L28" si="1">J15+(1-ro_value)*(M15-J15)</f>
        <v>3.5960000000000001</v>
      </c>
      <c r="M15" s="23">
        <f>b_0_g</f>
        <v>12</v>
      </c>
      <c r="N15" s="23">
        <f t="shared" ref="N15:N28" si="2">Evaluar(ec_g,K15)</f>
        <v>-0.64478400000000002</v>
      </c>
      <c r="O15" s="23">
        <f t="shared" ref="O15:O28" si="3">Evaluar(ec_g,L15)</f>
        <v>20.123215999999999</v>
      </c>
      <c r="P15" s="23">
        <f>L15-K15</f>
        <v>5.1920000000000002</v>
      </c>
      <c r="Q15" s="15" t="b">
        <f t="shared" ref="Q15:Q28" si="4">P15&lt;I_g</f>
        <v>0</v>
      </c>
    </row>
    <row r="16" spans="2:18" x14ac:dyDescent="0.25">
      <c r="C16" s="10" t="s">
        <v>17</v>
      </c>
      <c r="D16" s="10">
        <v>0.01</v>
      </c>
      <c r="F16" s="32" t="str">
        <f>CONCATENATE("Establecemos una incertidumbre de ",l)</f>
        <v>Establecemos una incertidumbre de 0,01</v>
      </c>
      <c r="G16" s="32"/>
      <c r="H16" s="32"/>
      <c r="I16" s="10">
        <v>1</v>
      </c>
      <c r="J16" s="23">
        <f>IF(N15&lt;O15,J15,K15)</f>
        <v>-10</v>
      </c>
      <c r="K16" s="23">
        <f t="shared" si="0"/>
        <v>-4.8063279999999997</v>
      </c>
      <c r="L16" s="23">
        <f t="shared" si="1"/>
        <v>-1.5976719999999993</v>
      </c>
      <c r="M16" s="23">
        <f>IF(N15&lt;O15,L15,M15)</f>
        <v>3.5960000000000001</v>
      </c>
      <c r="N16" s="23">
        <f t="shared" si="2"/>
        <v>13.488132843583999</v>
      </c>
      <c r="O16" s="23">
        <f t="shared" si="3"/>
        <v>-0.64278818041599983</v>
      </c>
      <c r="P16" s="23">
        <f t="shared" ref="P16:P28" si="5">L16-K16</f>
        <v>3.2086560000000004</v>
      </c>
      <c r="Q16" s="15" t="b">
        <f t="shared" si="4"/>
        <v>0</v>
      </c>
    </row>
    <row r="17" spans="3:17" x14ac:dyDescent="0.25">
      <c r="C17" s="10" t="s">
        <v>19</v>
      </c>
      <c r="D17" s="10">
        <v>-10</v>
      </c>
      <c r="F17" s="32" t="str">
        <f>CONCATENATE("Buscamos en el intervalo [",a0,", ",b0,"]")</f>
        <v>Buscamos en el intervalo [-10, 12]</v>
      </c>
      <c r="G17" s="32"/>
      <c r="H17" s="32"/>
      <c r="I17" s="10">
        <v>2</v>
      </c>
      <c r="J17" s="23">
        <f t="shared" ref="J17:J27" si="6">IF(N16&lt;O16,J16,K16)</f>
        <v>-4.8063279999999997</v>
      </c>
      <c r="K17" s="23">
        <f t="shared" si="0"/>
        <v>-1.5966387039999992</v>
      </c>
      <c r="L17" s="23">
        <f t="shared" si="1"/>
        <v>0.38631070400000045</v>
      </c>
      <c r="M17" s="23">
        <f t="shared" ref="M17:M27" si="7">IF(N16&lt;O16,L16,M16)</f>
        <v>3.5960000000000001</v>
      </c>
      <c r="N17" s="23">
        <f t="shared" si="2"/>
        <v>-0.64402225688920023</v>
      </c>
      <c r="O17" s="23">
        <f t="shared" si="3"/>
        <v>0.92185736802497564</v>
      </c>
      <c r="P17" s="23">
        <f t="shared" si="5"/>
        <v>1.9829494079999996</v>
      </c>
      <c r="Q17" s="15" t="b">
        <f t="shared" si="4"/>
        <v>0</v>
      </c>
    </row>
    <row r="18" spans="3:17" x14ac:dyDescent="0.25">
      <c r="C18" s="10" t="s">
        <v>20</v>
      </c>
      <c r="D18" s="10">
        <v>12</v>
      </c>
      <c r="I18" s="10">
        <v>3</v>
      </c>
      <c r="J18" s="23">
        <f t="shared" si="6"/>
        <v>-4.8063279999999997</v>
      </c>
      <c r="K18" s="23">
        <f t="shared" si="0"/>
        <v>-2.8227400150719997</v>
      </c>
      <c r="L18" s="23">
        <f t="shared" si="1"/>
        <v>-1.5972772809279996</v>
      </c>
      <c r="M18" s="23">
        <f t="shared" si="7"/>
        <v>0.38631070400000045</v>
      </c>
      <c r="N18" s="23">
        <f t="shared" si="2"/>
        <v>2.3223811625446755</v>
      </c>
      <c r="O18" s="23">
        <f t="shared" si="3"/>
        <v>-0.6432598496872548</v>
      </c>
      <c r="P18" s="23">
        <f t="shared" si="5"/>
        <v>1.2254627341440001</v>
      </c>
      <c r="Q18" s="15" t="b">
        <f t="shared" si="4"/>
        <v>0</v>
      </c>
    </row>
    <row r="19" spans="3:17" x14ac:dyDescent="0.25">
      <c r="C19" s="10" t="s">
        <v>31</v>
      </c>
      <c r="D19" s="10" t="s">
        <v>30</v>
      </c>
      <c r="F19" s="1" t="s">
        <v>33</v>
      </c>
      <c r="I19" s="10">
        <v>4</v>
      </c>
      <c r="J19" s="23">
        <f t="shared" si="6"/>
        <v>-2.8227400150719997</v>
      </c>
      <c r="K19" s="23">
        <f t="shared" si="0"/>
        <v>-1.5968826403864955</v>
      </c>
      <c r="L19" s="23">
        <f t="shared" si="1"/>
        <v>-0.8395466706855037</v>
      </c>
      <c r="M19" s="23">
        <f t="shared" si="7"/>
        <v>0.38631070400000045</v>
      </c>
      <c r="N19" s="23">
        <f t="shared" si="2"/>
        <v>-0.64373111360524016</v>
      </c>
      <c r="O19" s="23">
        <f t="shared" si="3"/>
        <v>-0.97425472911189392</v>
      </c>
      <c r="P19" s="23">
        <f t="shared" si="5"/>
        <v>0.75733596970099182</v>
      </c>
      <c r="Q19" s="15" t="b">
        <f t="shared" si="4"/>
        <v>0</v>
      </c>
    </row>
    <row r="20" spans="3:17" x14ac:dyDescent="0.25">
      <c r="I20" s="10">
        <v>5</v>
      </c>
      <c r="J20" s="23">
        <f t="shared" si="6"/>
        <v>-1.5968826403864955</v>
      </c>
      <c r="K20" s="23">
        <f t="shared" si="0"/>
        <v>-0.83930278283085402</v>
      </c>
      <c r="L20" s="23">
        <f t="shared" si="1"/>
        <v>-0.37126915355564094</v>
      </c>
      <c r="M20" s="23">
        <f t="shared" si="7"/>
        <v>0.38631070400000045</v>
      </c>
      <c r="N20" s="23">
        <f t="shared" si="2"/>
        <v>-0.97417640439409237</v>
      </c>
      <c r="O20" s="23">
        <f t="shared" si="3"/>
        <v>-0.60469752272935984</v>
      </c>
      <c r="P20" s="23">
        <f t="shared" si="5"/>
        <v>0.46803362927521308</v>
      </c>
      <c r="Q20" s="15" t="b">
        <f t="shared" si="4"/>
        <v>0</v>
      </c>
    </row>
    <row r="21" spans="3:17" x14ac:dyDescent="0.25">
      <c r="I21" s="10">
        <v>6</v>
      </c>
      <c r="J21" s="23">
        <f t="shared" si="6"/>
        <v>-1.5968826403864955</v>
      </c>
      <c r="K21" s="23">
        <f t="shared" si="0"/>
        <v>-1.1286982884171091</v>
      </c>
      <c r="L21" s="23">
        <f t="shared" si="1"/>
        <v>-0.8394535055250274</v>
      </c>
      <c r="M21" s="23">
        <f t="shared" si="7"/>
        <v>-0.37126915355564094</v>
      </c>
      <c r="N21" s="23">
        <f t="shared" si="2"/>
        <v>-0.98343675055850643</v>
      </c>
      <c r="O21" s="23">
        <f t="shared" si="3"/>
        <v>-0.97422482311179748</v>
      </c>
      <c r="P21" s="23">
        <f t="shared" si="5"/>
        <v>0.28924478289208166</v>
      </c>
      <c r="Q21" s="15" t="b">
        <f t="shared" si="4"/>
        <v>0</v>
      </c>
    </row>
    <row r="22" spans="3:17" ht="15" customHeight="1" x14ac:dyDescent="0.25">
      <c r="C22" s="28" t="s">
        <v>42</v>
      </c>
      <c r="D22" s="28"/>
      <c r="E22" s="28"/>
      <c r="F22" s="28"/>
      <c r="G22" s="28"/>
      <c r="I22" s="10">
        <v>7</v>
      </c>
      <c r="J22" s="23">
        <f t="shared" si="6"/>
        <v>-1.5968826403864955</v>
      </c>
      <c r="K22" s="23">
        <f t="shared" si="0"/>
        <v>-1.3075447108694147</v>
      </c>
      <c r="L22" s="23">
        <f t="shared" si="1"/>
        <v>-1.1287914350421082</v>
      </c>
      <c r="M22" s="23">
        <f t="shared" si="7"/>
        <v>-0.8394535055250274</v>
      </c>
      <c r="N22" s="23">
        <f t="shared" si="2"/>
        <v>-0.90541625081625088</v>
      </c>
      <c r="O22" s="23">
        <f t="shared" si="3"/>
        <v>-0.98341276625979401</v>
      </c>
      <c r="P22" s="23">
        <f t="shared" si="5"/>
        <v>0.17875327582730649</v>
      </c>
      <c r="Q22" s="15" t="b">
        <f t="shared" si="4"/>
        <v>0</v>
      </c>
    </row>
    <row r="23" spans="3:17" x14ac:dyDescent="0.25">
      <c r="C23" s="28"/>
      <c r="D23" s="28"/>
      <c r="E23" s="28"/>
      <c r="F23" s="28"/>
      <c r="G23" s="28"/>
      <c r="I23" s="10">
        <v>8</v>
      </c>
      <c r="J23" s="23">
        <f t="shared" si="6"/>
        <v>-1.3075447108694147</v>
      </c>
      <c r="K23" s="23">
        <f t="shared" si="0"/>
        <v>-1.1287338704278587</v>
      </c>
      <c r="L23" s="23">
        <f t="shared" si="1"/>
        <v>-1.0182643459665832</v>
      </c>
      <c r="M23" s="23">
        <f t="shared" si="7"/>
        <v>-0.8394535055250274</v>
      </c>
      <c r="N23" s="23">
        <f t="shared" si="2"/>
        <v>-0.983427590604663</v>
      </c>
      <c r="O23" s="23">
        <f t="shared" si="3"/>
        <v>-0.99966641366641307</v>
      </c>
      <c r="P23" s="23">
        <f t="shared" si="5"/>
        <v>0.11046952446127545</v>
      </c>
      <c r="Q23" s="15" t="b">
        <f t="shared" si="4"/>
        <v>0</v>
      </c>
    </row>
    <row r="24" spans="3:17" x14ac:dyDescent="0.25">
      <c r="C24" s="28"/>
      <c r="D24" s="28"/>
      <c r="E24" s="28"/>
      <c r="F24" s="28"/>
      <c r="G24" s="28"/>
      <c r="I24" s="10">
        <v>9</v>
      </c>
      <c r="J24" s="23">
        <f t="shared" si="6"/>
        <v>-1.1287338704278587</v>
      </c>
      <c r="K24" s="23">
        <f t="shared" si="0"/>
        <v>-1.0182287710349771</v>
      </c>
      <c r="L24" s="23">
        <f t="shared" si="1"/>
        <v>-0.94995860491790896</v>
      </c>
      <c r="M24" s="23">
        <f t="shared" si="7"/>
        <v>-0.8394535055250274</v>
      </c>
      <c r="N24" s="23">
        <f t="shared" si="2"/>
        <v>-0.99966771190655423</v>
      </c>
      <c r="O24" s="23">
        <f t="shared" si="3"/>
        <v>-0.9974958587782381</v>
      </c>
      <c r="P24" s="23">
        <f t="shared" si="5"/>
        <v>6.8270166117068154E-2</v>
      </c>
      <c r="Q24" s="15" t="b">
        <f t="shared" si="4"/>
        <v>0</v>
      </c>
    </row>
    <row r="25" spans="3:17" x14ac:dyDescent="0.25">
      <c r="C25" s="24"/>
      <c r="D25" s="24"/>
      <c r="E25" s="24"/>
      <c r="F25" s="24"/>
      <c r="G25" s="24"/>
      <c r="I25" s="10">
        <v>10</v>
      </c>
      <c r="J25" s="23">
        <f t="shared" si="6"/>
        <v>-1.1287338704278587</v>
      </c>
      <c r="K25" s="23">
        <f t="shared" si="0"/>
        <v>-1.0604417190030579</v>
      </c>
      <c r="L25" s="23">
        <f t="shared" si="1"/>
        <v>-1.0182507563427097</v>
      </c>
      <c r="M25" s="23">
        <f t="shared" si="7"/>
        <v>-0.94995860491790896</v>
      </c>
      <c r="N25" s="23">
        <f t="shared" si="2"/>
        <v>-0.99634679860395514</v>
      </c>
      <c r="O25" s="23">
        <f t="shared" si="3"/>
        <v>-0.99966690989291895</v>
      </c>
      <c r="P25" s="23">
        <f t="shared" si="5"/>
        <v>4.2190962660348275E-2</v>
      </c>
      <c r="Q25" s="15" t="b">
        <f t="shared" si="4"/>
        <v>0</v>
      </c>
    </row>
    <row r="26" spans="3:17" ht="15" customHeight="1" x14ac:dyDescent="0.25">
      <c r="C26" s="28" t="s">
        <v>43</v>
      </c>
      <c r="D26" s="28"/>
      <c r="E26" s="28"/>
      <c r="F26" s="28"/>
      <c r="G26" s="28"/>
      <c r="I26" s="10">
        <v>11</v>
      </c>
      <c r="J26" s="23">
        <f t="shared" si="6"/>
        <v>-1.0604417190030579</v>
      </c>
      <c r="K26" s="23">
        <f t="shared" si="0"/>
        <v>-1.018237169422531</v>
      </c>
      <c r="L26" s="23">
        <f t="shared" si="1"/>
        <v>-0.99216315449843584</v>
      </c>
      <c r="M26" s="23">
        <f t="shared" si="7"/>
        <v>-0.94995860491790896</v>
      </c>
      <c r="N26" s="23">
        <f t="shared" si="2"/>
        <v>-0.99966740565145384</v>
      </c>
      <c r="O26" s="23">
        <f t="shared" si="3"/>
        <v>-0.99993858385258461</v>
      </c>
      <c r="P26" s="23">
        <f t="shared" si="5"/>
        <v>2.6074014924095112E-2</v>
      </c>
      <c r="Q26" s="15" t="b">
        <f t="shared" si="4"/>
        <v>0</v>
      </c>
    </row>
    <row r="27" spans="3:17" ht="15" customHeight="1" x14ac:dyDescent="0.25">
      <c r="C27" s="28"/>
      <c r="D27" s="28"/>
      <c r="E27" s="28"/>
      <c r="F27" s="28"/>
      <c r="G27" s="28"/>
      <c r="I27" s="10">
        <v>12</v>
      </c>
      <c r="J27" s="23">
        <f t="shared" si="6"/>
        <v>-1.018237169422531</v>
      </c>
      <c r="K27" s="23">
        <f t="shared" si="0"/>
        <v>-0.99215475778176532</v>
      </c>
      <c r="L27" s="23">
        <f t="shared" si="1"/>
        <v>-0.97604101655867459</v>
      </c>
      <c r="M27" s="23">
        <f t="shared" si="7"/>
        <v>-0.94995860491790896</v>
      </c>
      <c r="N27" s="23">
        <f t="shared" si="2"/>
        <v>-0.99993845217453725</v>
      </c>
      <c r="O27" s="23">
        <f t="shared" si="3"/>
        <v>-0.99942596711245835</v>
      </c>
      <c r="P27" s="23">
        <f t="shared" si="5"/>
        <v>1.6113741223090727E-2</v>
      </c>
      <c r="Q27" s="15" t="b">
        <f t="shared" si="4"/>
        <v>0</v>
      </c>
    </row>
    <row r="28" spans="3:17" x14ac:dyDescent="0.25">
      <c r="C28" s="28"/>
      <c r="D28" s="28"/>
      <c r="E28" s="28"/>
      <c r="F28" s="28"/>
      <c r="G28" s="28"/>
      <c r="I28" s="19">
        <v>13</v>
      </c>
      <c r="J28" s="20">
        <f t="shared" ref="J28" si="8">IF(N27&lt;O27,J27,K27)</f>
        <v>-1.018237169422531</v>
      </c>
      <c r="K28" s="20">
        <f t="shared" si="0"/>
        <v>-1.0021182390285379</v>
      </c>
      <c r="L28" s="20">
        <f t="shared" si="1"/>
        <v>-0.99215994695266774</v>
      </c>
      <c r="M28" s="20">
        <f t="shared" ref="M28" si="9">IF(N27&lt;O27,L27,M27)</f>
        <v>-0.97604101655867459</v>
      </c>
      <c r="N28" s="23">
        <f t="shared" si="2"/>
        <v>-0.99999551306341794</v>
      </c>
      <c r="O28" s="23">
        <f t="shared" si="3"/>
        <v>-0.99993853356821505</v>
      </c>
      <c r="P28" s="23">
        <f t="shared" si="5"/>
        <v>9.9582920758701787E-3</v>
      </c>
      <c r="Q28" s="15" t="b">
        <f t="shared" si="4"/>
        <v>1</v>
      </c>
    </row>
    <row r="29" spans="3:17" x14ac:dyDescent="0.25">
      <c r="C29" s="24"/>
      <c r="D29" s="24"/>
      <c r="E29" s="24"/>
      <c r="F29" s="24"/>
      <c r="G29" s="24"/>
    </row>
    <row r="30" spans="3:17" ht="15" customHeight="1" x14ac:dyDescent="0.25">
      <c r="C30" s="28" t="s">
        <v>44</v>
      </c>
      <c r="D30" s="28"/>
      <c r="E30" s="28"/>
      <c r="F30" s="28"/>
      <c r="G30" s="28"/>
    </row>
    <row r="31" spans="3:17" x14ac:dyDescent="0.25">
      <c r="C31" s="28"/>
      <c r="D31" s="28"/>
      <c r="E31" s="28"/>
      <c r="F31" s="28"/>
      <c r="G31" s="28"/>
    </row>
    <row r="32" spans="3:17" x14ac:dyDescent="0.25">
      <c r="C32" s="28"/>
      <c r="D32" s="28"/>
      <c r="E32" s="28"/>
      <c r="F32" s="28"/>
      <c r="G32" s="28"/>
    </row>
    <row r="33" spans="3:7" x14ac:dyDescent="0.25">
      <c r="C33" s="28"/>
      <c r="D33" s="28"/>
      <c r="E33" s="28"/>
      <c r="F33" s="28"/>
      <c r="G33" s="28"/>
    </row>
  </sheetData>
  <mergeCells count="16">
    <mergeCell ref="C30:G33"/>
    <mergeCell ref="B1:G1"/>
    <mergeCell ref="C2:E2"/>
    <mergeCell ref="M2:O2"/>
    <mergeCell ref="C3:K8"/>
    <mergeCell ref="N3:R3"/>
    <mergeCell ref="N4:R4"/>
    <mergeCell ref="N5:Q5"/>
    <mergeCell ref="N6:Q6"/>
    <mergeCell ref="N7:R7"/>
    <mergeCell ref="F15:H15"/>
    <mergeCell ref="F16:H16"/>
    <mergeCell ref="F17:H17"/>
    <mergeCell ref="C22:G24"/>
    <mergeCell ref="C26:G28"/>
    <mergeCell ref="H1:K1"/>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O14"/>
  <sheetViews>
    <sheetView workbookViewId="0">
      <selection activeCell="C2" sqref="C2:G2"/>
    </sheetView>
  </sheetViews>
  <sheetFormatPr defaultColWidth="11.42578125" defaultRowHeight="15" x14ac:dyDescent="0.25"/>
  <cols>
    <col min="1" max="1" width="3.140625" style="1" customWidth="1"/>
    <col min="2" max="2" width="3.5703125" style="1" customWidth="1"/>
    <col min="3" max="3" width="13.5703125" style="1" customWidth="1"/>
    <col min="4" max="4" width="8.140625" style="1" customWidth="1"/>
    <col min="5" max="5" width="22.5703125" style="1" customWidth="1"/>
    <col min="6" max="6" width="17.85546875" style="1" customWidth="1"/>
    <col min="7" max="7" width="9.7109375" style="1" customWidth="1"/>
    <col min="8" max="8" width="10.140625" style="1" customWidth="1"/>
    <col min="9" max="9" width="6.140625" style="1" customWidth="1"/>
    <col min="10" max="10" width="11.28515625" style="1" customWidth="1"/>
    <col min="11" max="12" width="7.5703125" style="1" customWidth="1"/>
    <col min="13" max="13" width="13.85546875" style="1" customWidth="1"/>
    <col min="14" max="14" width="11.42578125" style="1"/>
    <col min="15" max="15" width="6.5703125" style="1" customWidth="1"/>
    <col min="16" max="16384" width="11.42578125" style="1"/>
  </cols>
  <sheetData>
    <row r="1" spans="2:15" ht="33.75" x14ac:dyDescent="0.5">
      <c r="B1" s="30" t="s">
        <v>10</v>
      </c>
      <c r="C1" s="30"/>
      <c r="D1" s="30"/>
      <c r="E1" s="30"/>
      <c r="F1" s="30"/>
      <c r="G1" s="34" t="s">
        <v>64</v>
      </c>
      <c r="H1" s="34"/>
      <c r="I1" s="34"/>
      <c r="J1" s="34"/>
      <c r="K1" s="34"/>
    </row>
    <row r="2" spans="2:15" ht="21" x14ac:dyDescent="0.35">
      <c r="C2" s="29" t="s">
        <v>45</v>
      </c>
      <c r="D2" s="29"/>
      <c r="E2" s="29"/>
      <c r="F2" s="29"/>
      <c r="G2" s="29"/>
      <c r="J2" s="29" t="s">
        <v>15</v>
      </c>
      <c r="K2" s="29"/>
      <c r="L2" s="29"/>
      <c r="M2" s="29"/>
    </row>
    <row r="3" spans="2:15" ht="29.25" customHeight="1" x14ac:dyDescent="0.25">
      <c r="C3" s="28" t="s">
        <v>50</v>
      </c>
      <c r="D3" s="28"/>
      <c r="E3" s="28"/>
      <c r="F3" s="28"/>
      <c r="G3" s="28"/>
      <c r="H3" s="28"/>
      <c r="J3" s="4" t="s">
        <v>46</v>
      </c>
      <c r="K3" s="28" t="s">
        <v>48</v>
      </c>
      <c r="L3" s="28"/>
      <c r="M3" s="28"/>
      <c r="N3" s="28"/>
      <c r="O3" s="28"/>
    </row>
    <row r="4" spans="2:15" x14ac:dyDescent="0.25">
      <c r="C4" s="28"/>
      <c r="D4" s="28"/>
      <c r="E4" s="28"/>
      <c r="F4" s="28"/>
      <c r="G4" s="28"/>
      <c r="H4" s="28"/>
      <c r="J4" s="5" t="s">
        <v>47</v>
      </c>
      <c r="K4" s="28" t="s">
        <v>49</v>
      </c>
      <c r="L4" s="28"/>
      <c r="M4" s="28"/>
      <c r="N4" s="28"/>
      <c r="O4" s="28"/>
    </row>
    <row r="5" spans="2:15" ht="16.5" customHeight="1" x14ac:dyDescent="0.25">
      <c r="C5" s="28"/>
      <c r="D5" s="28"/>
      <c r="E5" s="28"/>
      <c r="F5" s="28"/>
      <c r="G5" s="28"/>
      <c r="H5" s="28"/>
      <c r="J5" s="25"/>
      <c r="K5" s="37"/>
      <c r="L5" s="37"/>
      <c r="M5" s="37"/>
      <c r="N5" s="37"/>
    </row>
    <row r="7" spans="2:15" ht="21" x14ac:dyDescent="0.35">
      <c r="C7" s="22" t="s">
        <v>23</v>
      </c>
      <c r="D7" s="22"/>
      <c r="E7" s="8"/>
    </row>
    <row r="8" spans="2:15" ht="33.75" customHeight="1" x14ac:dyDescent="0.25">
      <c r="C8" s="36" t="s">
        <v>55</v>
      </c>
      <c r="D8" s="36"/>
      <c r="E8" s="36"/>
      <c r="F8" s="36"/>
      <c r="G8" s="36"/>
      <c r="H8" s="36"/>
    </row>
    <row r="9" spans="2:15" x14ac:dyDescent="0.25">
      <c r="C9" s="35" t="s">
        <v>53</v>
      </c>
      <c r="D9" s="35"/>
      <c r="E9" s="35"/>
      <c r="F9" s="35"/>
      <c r="G9" s="35"/>
    </row>
    <row r="10" spans="2:15" x14ac:dyDescent="0.25">
      <c r="C10" s="35" t="s">
        <v>54</v>
      </c>
      <c r="D10" s="35"/>
      <c r="E10" s="35"/>
      <c r="F10" s="35"/>
      <c r="G10" s="35"/>
    </row>
    <row r="11" spans="2:15" x14ac:dyDescent="0.25">
      <c r="C11" s="26"/>
      <c r="D11" s="26"/>
      <c r="E11" s="26"/>
      <c r="F11" s="26"/>
    </row>
    <row r="12" spans="2:15" x14ac:dyDescent="0.25">
      <c r="C12" s="5" t="s">
        <v>51</v>
      </c>
      <c r="D12" s="5" t="s">
        <v>13</v>
      </c>
      <c r="E12" s="5" t="s">
        <v>57</v>
      </c>
      <c r="F12" s="5" t="s">
        <v>56</v>
      </c>
      <c r="G12" s="5" t="s">
        <v>58</v>
      </c>
      <c r="H12" s="5" t="s">
        <v>59</v>
      </c>
    </row>
    <row r="13" spans="2:15" x14ac:dyDescent="0.25">
      <c r="C13" s="10" t="s">
        <v>30</v>
      </c>
      <c r="D13" s="10">
        <v>3</v>
      </c>
      <c r="E13" s="10" t="s">
        <v>60</v>
      </c>
      <c r="F13" s="10" t="s">
        <v>61</v>
      </c>
      <c r="G13" s="27">
        <f>EvaluarNumero(C13,3)</f>
        <v>15</v>
      </c>
      <c r="H13" s="27">
        <f>Evaluar(C13,D13)</f>
        <v>15</v>
      </c>
    </row>
    <row r="14" spans="2:15" x14ac:dyDescent="0.25">
      <c r="C14" s="10" t="s">
        <v>52</v>
      </c>
      <c r="D14" s="10">
        <v>2</v>
      </c>
      <c r="E14" s="10" t="s">
        <v>62</v>
      </c>
      <c r="F14" s="10" t="s">
        <v>61</v>
      </c>
      <c r="G14" s="27">
        <f>EvaluarNumero(C14,2)</f>
        <v>9.4142135623730958</v>
      </c>
      <c r="H14" s="27">
        <f>Evaluar(C14,D14)</f>
        <v>9.4142135623730958</v>
      </c>
    </row>
  </sheetData>
  <mergeCells count="11">
    <mergeCell ref="C9:G9"/>
    <mergeCell ref="C10:G10"/>
    <mergeCell ref="C8:H8"/>
    <mergeCell ref="C3:H5"/>
    <mergeCell ref="B1:F1"/>
    <mergeCell ref="G1:K1"/>
    <mergeCell ref="J2:M2"/>
    <mergeCell ref="K3:O3"/>
    <mergeCell ref="K4:O4"/>
    <mergeCell ref="K5:N5"/>
    <mergeCell ref="C2:G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13</vt:i4>
      </vt:variant>
    </vt:vector>
  </HeadingPairs>
  <TitlesOfParts>
    <vt:vector size="16" baseType="lpstr">
      <vt:lpstr>Búsqueda Dicotómica</vt:lpstr>
      <vt:lpstr>Golden Ratio</vt:lpstr>
      <vt:lpstr>Evaluación de Funciones</vt:lpstr>
      <vt:lpstr>a_0_g</vt:lpstr>
      <vt:lpstr>a0</vt:lpstr>
      <vt:lpstr>a0_g</vt:lpstr>
      <vt:lpstr>b_0_g</vt:lpstr>
      <vt:lpstr>b0</vt:lpstr>
      <vt:lpstr>ec</vt:lpstr>
      <vt:lpstr>ec_g</vt:lpstr>
      <vt:lpstr>eps</vt:lpstr>
      <vt:lpstr>I_g</vt:lpstr>
      <vt:lpstr>l</vt:lpstr>
      <vt:lpstr>ro</vt:lpstr>
      <vt:lpstr>ro_name</vt:lpstr>
      <vt:lpstr>ro_value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practica</dc:creator>
  <cp:lastModifiedBy>David de los Santos Boix</cp:lastModifiedBy>
  <dcterms:created xsi:type="dcterms:W3CDTF">2017-02-15T15:07:10Z</dcterms:created>
  <dcterms:modified xsi:type="dcterms:W3CDTF">2017-02-15T19:31:44Z</dcterms:modified>
</cp:coreProperties>
</file>